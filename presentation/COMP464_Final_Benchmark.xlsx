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02"/>
  <workbookPr/>
  <mc:AlternateContent xmlns:mc="http://schemas.openxmlformats.org/markup-compatibility/2006">
    <mc:Choice Requires="x15">
      <x15ac:absPath xmlns:x15ac="http://schemas.microsoft.com/office/spreadsheetml/2010/11/ac" url="https://loyolauniversitychicago-my.sharepoint.com/personal/msaban_luc_edu/Documents/Coursework/COMP 464/Final Project/"/>
    </mc:Choice>
  </mc:AlternateContent>
  <xr:revisionPtr revIDLastSave="806" documentId="11_F25DC773A252ABDACC1048C8E91F59CC5ADE58ED" xr6:coauthVersionLast="47" xr6:coauthVersionMax="47" xr10:uidLastSave="{7189EAC5-F83A-4912-BA0B-AADBE4BBBEEA}"/>
  <bookViews>
    <workbookView minimized="1" xWindow="-23028" yWindow="12" windowWidth="23016" windowHeight="13656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29" i="1" l="1"/>
  <c r="J129" i="1" s="1"/>
  <c r="I130" i="1"/>
  <c r="J130" i="1" s="1"/>
  <c r="I131" i="1"/>
  <c r="J131" i="1" s="1"/>
  <c r="I132" i="1"/>
  <c r="J132" i="1" s="1"/>
  <c r="I133" i="1"/>
  <c r="J133" i="1" s="1"/>
  <c r="I134" i="1"/>
  <c r="J134" i="1" s="1"/>
  <c r="I135" i="1"/>
  <c r="J135" i="1" s="1"/>
  <c r="I136" i="1"/>
  <c r="J136" i="1" s="1"/>
  <c r="I137" i="1"/>
  <c r="J137" i="1" s="1"/>
  <c r="I138" i="1"/>
  <c r="J138" i="1" s="1"/>
  <c r="I139" i="1"/>
  <c r="J139" i="1" s="1"/>
  <c r="I140" i="1"/>
  <c r="J140" i="1" s="1"/>
  <c r="I141" i="1"/>
  <c r="J141" i="1" s="1"/>
  <c r="I142" i="1"/>
  <c r="J142" i="1" s="1"/>
  <c r="I143" i="1"/>
  <c r="J143" i="1" s="1"/>
  <c r="I144" i="1"/>
  <c r="J144" i="1" s="1"/>
  <c r="I145" i="1"/>
  <c r="J145" i="1" s="1"/>
  <c r="I146" i="1"/>
  <c r="J146" i="1" s="1"/>
  <c r="I147" i="1"/>
  <c r="J147" i="1" s="1"/>
  <c r="I148" i="1"/>
  <c r="J148" i="1" s="1"/>
  <c r="I149" i="1"/>
  <c r="J149" i="1" s="1"/>
  <c r="I150" i="1"/>
  <c r="J150" i="1" s="1"/>
  <c r="I151" i="1"/>
  <c r="J151" i="1" s="1"/>
  <c r="I152" i="1"/>
  <c r="J152" i="1" s="1"/>
  <c r="I153" i="1"/>
  <c r="J153" i="1" s="1"/>
  <c r="I154" i="1"/>
  <c r="J154" i="1" s="1"/>
  <c r="I155" i="1"/>
  <c r="J155" i="1" s="1"/>
  <c r="I156" i="1"/>
  <c r="J156" i="1" s="1"/>
  <c r="I157" i="1"/>
  <c r="J157" i="1" s="1"/>
  <c r="I158" i="1"/>
  <c r="J158" i="1" s="1"/>
  <c r="I159" i="1"/>
  <c r="J159" i="1" s="1"/>
  <c r="I160" i="1"/>
  <c r="J160" i="1" s="1"/>
  <c r="I161" i="1"/>
  <c r="J161" i="1" s="1"/>
  <c r="I162" i="1"/>
  <c r="J162" i="1" s="1"/>
  <c r="I163" i="1"/>
  <c r="J163" i="1" s="1"/>
  <c r="I164" i="1"/>
  <c r="J164" i="1" s="1"/>
  <c r="I165" i="1"/>
  <c r="J165" i="1" s="1"/>
  <c r="I166" i="1"/>
  <c r="J166" i="1" s="1"/>
  <c r="I167" i="1"/>
  <c r="J167" i="1" s="1"/>
  <c r="I168" i="1"/>
  <c r="J168" i="1" s="1"/>
  <c r="I169" i="1"/>
  <c r="J169" i="1" s="1"/>
  <c r="I128" i="1"/>
  <c r="J128" i="1" s="1"/>
  <c r="I127" i="1"/>
  <c r="J127" i="1" s="1"/>
  <c r="I87" i="1"/>
  <c r="J87" i="1" s="1"/>
  <c r="I88" i="1"/>
  <c r="J88" i="1" s="1"/>
  <c r="I89" i="1"/>
  <c r="J89" i="1" s="1"/>
  <c r="I90" i="1"/>
  <c r="J90" i="1" s="1"/>
  <c r="I91" i="1"/>
  <c r="J91" i="1" s="1"/>
  <c r="I92" i="1"/>
  <c r="J92" i="1" s="1"/>
  <c r="I93" i="1"/>
  <c r="J93" i="1" s="1"/>
  <c r="I94" i="1"/>
  <c r="J94" i="1" s="1"/>
  <c r="I95" i="1"/>
  <c r="J95" i="1" s="1"/>
  <c r="I96" i="1"/>
  <c r="J96" i="1" s="1"/>
  <c r="I97" i="1"/>
  <c r="J97" i="1" s="1"/>
  <c r="I98" i="1"/>
  <c r="J98" i="1" s="1"/>
  <c r="I99" i="1"/>
  <c r="J99" i="1" s="1"/>
  <c r="I100" i="1"/>
  <c r="J100" i="1" s="1"/>
  <c r="I101" i="1"/>
  <c r="J101" i="1" s="1"/>
  <c r="I102" i="1"/>
  <c r="J102" i="1" s="1"/>
  <c r="I103" i="1"/>
  <c r="J103" i="1" s="1"/>
  <c r="I104" i="1"/>
  <c r="J104" i="1" s="1"/>
  <c r="I105" i="1"/>
  <c r="J105" i="1" s="1"/>
  <c r="I106" i="1"/>
  <c r="J106" i="1" s="1"/>
  <c r="I107" i="1"/>
  <c r="J107" i="1" s="1"/>
  <c r="I108" i="1"/>
  <c r="J108" i="1" s="1"/>
  <c r="I109" i="1"/>
  <c r="J109" i="1" s="1"/>
  <c r="I110" i="1"/>
  <c r="J110" i="1" s="1"/>
  <c r="I111" i="1"/>
  <c r="J111" i="1" s="1"/>
  <c r="I112" i="1"/>
  <c r="J112" i="1" s="1"/>
  <c r="I113" i="1"/>
  <c r="J113" i="1" s="1"/>
  <c r="I114" i="1"/>
  <c r="J114" i="1" s="1"/>
  <c r="I115" i="1"/>
  <c r="J115" i="1" s="1"/>
  <c r="I116" i="1"/>
  <c r="J116" i="1" s="1"/>
  <c r="I117" i="1"/>
  <c r="J117" i="1" s="1"/>
  <c r="I118" i="1"/>
  <c r="J118" i="1" s="1"/>
  <c r="I119" i="1"/>
  <c r="J119" i="1" s="1"/>
  <c r="I120" i="1"/>
  <c r="J120" i="1" s="1"/>
  <c r="I121" i="1"/>
  <c r="J121" i="1" s="1"/>
  <c r="I122" i="1"/>
  <c r="J122" i="1" s="1"/>
  <c r="I123" i="1"/>
  <c r="J123" i="1" s="1"/>
  <c r="I124" i="1"/>
  <c r="J124" i="1" s="1"/>
  <c r="I125" i="1"/>
  <c r="J125" i="1" s="1"/>
  <c r="I126" i="1"/>
  <c r="J126" i="1" s="1"/>
  <c r="I86" i="1"/>
  <c r="J86" i="1" s="1"/>
  <c r="I81" i="1"/>
  <c r="J81" i="1" s="1"/>
  <c r="I82" i="1"/>
  <c r="J82" i="1" s="1"/>
  <c r="I83" i="1"/>
  <c r="J83" i="1" s="1"/>
  <c r="I84" i="1"/>
  <c r="J84" i="1" s="1"/>
  <c r="I85" i="1"/>
  <c r="J85" i="1" s="1"/>
  <c r="I80" i="1"/>
  <c r="J80" i="1" s="1"/>
  <c r="I68" i="1"/>
  <c r="J68" i="1" s="1"/>
  <c r="I69" i="1"/>
  <c r="J69" i="1" s="1"/>
  <c r="I70" i="1"/>
  <c r="J70" i="1" s="1"/>
  <c r="I71" i="1"/>
  <c r="J71" i="1" s="1"/>
  <c r="I72" i="1"/>
  <c r="J72" i="1" s="1"/>
  <c r="I73" i="1"/>
  <c r="J73" i="1" s="1"/>
  <c r="I74" i="1"/>
  <c r="J74" i="1" s="1"/>
  <c r="I75" i="1"/>
  <c r="J75" i="1" s="1"/>
  <c r="I76" i="1"/>
  <c r="J76" i="1" s="1"/>
  <c r="I77" i="1"/>
  <c r="J77" i="1" s="1"/>
  <c r="I78" i="1"/>
  <c r="J78" i="1" s="1"/>
  <c r="I79" i="1"/>
  <c r="J79" i="1" s="1"/>
  <c r="J2" i="1"/>
  <c r="J3" i="1"/>
  <c r="J4" i="1"/>
  <c r="J5" i="1"/>
  <c r="J6" i="1"/>
  <c r="J7" i="1"/>
  <c r="I39" i="1"/>
  <c r="J39" i="1" s="1"/>
  <c r="I40" i="1"/>
  <c r="J40" i="1" s="1"/>
  <c r="I41" i="1"/>
  <c r="J41" i="1" s="1"/>
  <c r="I42" i="1"/>
  <c r="J42" i="1" s="1"/>
  <c r="I43" i="1"/>
  <c r="J43" i="1" s="1"/>
  <c r="I44" i="1"/>
  <c r="J44" i="1" s="1"/>
  <c r="I45" i="1"/>
  <c r="J45" i="1" s="1"/>
  <c r="I46" i="1"/>
  <c r="J46" i="1" s="1"/>
  <c r="I47" i="1"/>
  <c r="J47" i="1" s="1"/>
  <c r="I48" i="1"/>
  <c r="J48" i="1" s="1"/>
  <c r="I49" i="1"/>
  <c r="J49" i="1" s="1"/>
  <c r="I50" i="1"/>
  <c r="J50" i="1" s="1"/>
  <c r="I51" i="1"/>
  <c r="J51" i="1" s="1"/>
  <c r="I52" i="1"/>
  <c r="J52" i="1" s="1"/>
  <c r="I53" i="1"/>
  <c r="J53" i="1" s="1"/>
  <c r="I54" i="1"/>
  <c r="J54" i="1" s="1"/>
  <c r="I55" i="1"/>
  <c r="J55" i="1" s="1"/>
  <c r="I56" i="1"/>
  <c r="J56" i="1" s="1"/>
  <c r="I57" i="1"/>
  <c r="J57" i="1" s="1"/>
  <c r="I58" i="1"/>
  <c r="J58" i="1" s="1"/>
  <c r="I59" i="1"/>
  <c r="J59" i="1" s="1"/>
  <c r="I60" i="1"/>
  <c r="J60" i="1" s="1"/>
  <c r="I61" i="1"/>
  <c r="J61" i="1" s="1"/>
  <c r="I62" i="1"/>
  <c r="J62" i="1" s="1"/>
  <c r="I63" i="1"/>
  <c r="J63" i="1" s="1"/>
  <c r="I64" i="1"/>
  <c r="J64" i="1" s="1"/>
  <c r="I65" i="1"/>
  <c r="J65" i="1" s="1"/>
  <c r="I66" i="1"/>
  <c r="J66" i="1" s="1"/>
  <c r="I67" i="1"/>
  <c r="J67" i="1" s="1"/>
  <c r="I2" i="1"/>
  <c r="I3" i="1"/>
  <c r="I4" i="1"/>
  <c r="I5" i="1"/>
  <c r="I6" i="1"/>
  <c r="I7" i="1"/>
  <c r="I8" i="1"/>
  <c r="J8" i="1" s="1"/>
  <c r="I9" i="1"/>
  <c r="J9" i="1" s="1"/>
  <c r="I10" i="1"/>
  <c r="J10" i="1" s="1"/>
  <c r="I11" i="1"/>
  <c r="J11" i="1" s="1"/>
  <c r="I12" i="1"/>
  <c r="J12" i="1" s="1"/>
  <c r="I13" i="1"/>
  <c r="J13" i="1" s="1"/>
  <c r="I14" i="1"/>
  <c r="J14" i="1" s="1"/>
  <c r="I15" i="1"/>
  <c r="J15" i="1" s="1"/>
  <c r="I16" i="1"/>
  <c r="J16" i="1" s="1"/>
  <c r="I17" i="1"/>
  <c r="J17" i="1" s="1"/>
  <c r="I18" i="1"/>
  <c r="J18" i="1" s="1"/>
  <c r="I19" i="1"/>
  <c r="J19" i="1" s="1"/>
  <c r="I20" i="1"/>
  <c r="J20" i="1" s="1"/>
  <c r="I21" i="1"/>
  <c r="J21" i="1" s="1"/>
  <c r="I22" i="1"/>
  <c r="J22" i="1" s="1"/>
  <c r="I23" i="1"/>
  <c r="J23" i="1" s="1"/>
  <c r="I24" i="1"/>
  <c r="J24" i="1" s="1"/>
  <c r="I25" i="1"/>
  <c r="J25" i="1" s="1"/>
  <c r="I26" i="1"/>
  <c r="J26" i="1" s="1"/>
  <c r="I27" i="1"/>
  <c r="J27" i="1" s="1"/>
  <c r="I28" i="1"/>
  <c r="J28" i="1" s="1"/>
  <c r="I29" i="1"/>
  <c r="J29" i="1" s="1"/>
  <c r="I30" i="1"/>
  <c r="J30" i="1" s="1"/>
  <c r="I31" i="1"/>
  <c r="J31" i="1" s="1"/>
  <c r="I32" i="1"/>
  <c r="J32" i="1" s="1"/>
  <c r="I33" i="1"/>
  <c r="J33" i="1" s="1"/>
  <c r="I34" i="1"/>
  <c r="J34" i="1" s="1"/>
  <c r="I35" i="1"/>
  <c r="J35" i="1" s="1"/>
  <c r="I36" i="1"/>
  <c r="J36" i="1" s="1"/>
  <c r="I37" i="1"/>
  <c r="J37" i="1" s="1"/>
  <c r="I38" i="1"/>
  <c r="J38" i="1" s="1"/>
</calcChain>
</file>

<file path=xl/sharedStrings.xml><?xml version="1.0" encoding="utf-8"?>
<sst xmlns="http://schemas.openxmlformats.org/spreadsheetml/2006/main" count="241" uniqueCount="32">
  <si>
    <t>Type</t>
  </si>
  <si>
    <t>Threads/Procs</t>
  </si>
  <si>
    <t>Steps</t>
  </si>
  <si>
    <t>Width</t>
  </si>
  <si>
    <t>Height</t>
  </si>
  <si>
    <t>TotalTime (s)</t>
  </si>
  <si>
    <t>TimePerStep (ms)</t>
  </si>
  <si>
    <t>T1</t>
  </si>
  <si>
    <t>Speedup</t>
  </si>
  <si>
    <t>Efficiency</t>
  </si>
  <si>
    <t>Serial</t>
  </si>
  <si>
    <t>OpenMP</t>
  </si>
  <si>
    <t>MPI</t>
  </si>
  <si>
    <t>Grid width</t>
  </si>
  <si>
    <t>Serial time</t>
  </si>
  <si>
    <t>OpenMP 16-thread time</t>
  </si>
  <si>
    <r>
      <t>T</t>
    </r>
    <r>
      <rPr>
        <b/>
        <vertAlign val="subscript"/>
        <sz val="11"/>
        <color theme="1"/>
        <rFont val="Calibri"/>
        <family val="2"/>
        <scheme val="minor"/>
      </rPr>
      <t>serial</t>
    </r>
    <r>
      <rPr>
        <b/>
        <sz val="11"/>
        <color theme="1"/>
        <rFont val="Calibri"/>
        <family val="2"/>
        <scheme val="minor"/>
      </rPr>
      <t xml:space="preserve"> / T</t>
    </r>
    <r>
      <rPr>
        <b/>
        <vertAlign val="subscript"/>
        <sz val="11"/>
        <color theme="1"/>
        <rFont val="Calibri"/>
        <family val="2"/>
        <scheme val="minor"/>
      </rPr>
      <t>16</t>
    </r>
  </si>
  <si>
    <t>7.07×</t>
  </si>
  <si>
    <t>7.28×</t>
  </si>
  <si>
    <t>10.29×</t>
  </si>
  <si>
    <t>9.36×</t>
  </si>
  <si>
    <t>9.34×</t>
  </si>
  <si>
    <t>11.02×</t>
  </si>
  <si>
    <t>MPI --cpu-threads</t>
  </si>
  <si>
    <t>Hybrid Large Problem</t>
  </si>
  <si>
    <t>p</t>
  </si>
  <si>
    <t>t</t>
  </si>
  <si>
    <t>steps</t>
  </si>
  <si>
    <t>gridsize</t>
  </si>
  <si>
    <t>time</t>
  </si>
  <si>
    <t>MPI nobuffer</t>
  </si>
  <si>
    <t>Hybrid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</si>
</sst>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vertAlign val="subscript"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4"/>
        <bgColor theme="4"/>
      </patternFill>
    </fill>
  </fills>
  <borders count="4">
    <border>
      <left/>
      <right/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 applyAlignment="1">
      <alignment horizontal="right" vertical="center" wrapText="1"/>
    </xf>
    <xf numFmtId="0" fontId="1" fillId="0" borderId="0" xfId="0" applyFont="1" applyAlignment="1">
      <alignment horizontal="right" vertical="center" wrapText="1"/>
    </xf>
    <xf numFmtId="0" fontId="1" fillId="0" borderId="0" xfId="0" applyFont="1" applyAlignment="1">
      <alignment horizontal="center" vertical="center" wrapText="1"/>
    </xf>
    <xf numFmtId="0" fontId="0" fillId="2" borderId="0" xfId="0" applyFill="1"/>
    <xf numFmtId="0" fontId="0" fillId="3" borderId="0" xfId="0" applyFill="1"/>
    <xf numFmtId="0" fontId="4" fillId="5" borderId="3" xfId="0" applyFont="1" applyFill="1" applyBorder="1"/>
    <xf numFmtId="0" fontId="4" fillId="5" borderId="1" xfId="0" applyFont="1" applyFill="1" applyBorder="1"/>
    <xf numFmtId="0" fontId="4" fillId="5" borderId="2" xfId="0" applyFont="1" applyFill="1" applyBorder="1"/>
    <xf numFmtId="0" fontId="0" fillId="4" borderId="3" xfId="0" applyFont="1" applyFill="1" applyBorder="1"/>
    <xf numFmtId="0" fontId="0" fillId="4" borderId="1" xfId="0" applyFont="1" applyFill="1" applyBorder="1"/>
    <xf numFmtId="0" fontId="0" fillId="4" borderId="2" xfId="0" applyFont="1" applyFill="1" applyBorder="1"/>
    <xf numFmtId="0" fontId="0" fillId="0" borderId="3" xfId="0" applyFont="1" applyBorder="1"/>
    <xf numFmtId="0" fontId="0" fillId="0" borderId="1" xfId="0" applyFont="1" applyBorder="1"/>
    <xf numFmtId="0" fontId="0" fillId="0" borderId="2" xfId="0" applyFont="1" applyBorder="1"/>
  </cellXfs>
  <cellStyles count="1">
    <cellStyle name="Normal" xfId="0" builtinId="0"/>
  </cellStyles>
  <dxfs count="10">
    <dxf>
      <alignment horizontal="right" vertical="center" textRotation="0" wrapText="1" indent="0" justifyLastLine="0" shrinkToFit="0" readingOrder="0"/>
    </dxf>
    <dxf>
      <alignment horizontal="right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right" vertical="center" textRotation="0" wrapText="1" indent="0" justifyLastLine="0" shrinkToFit="0" readingOrder="0"/>
    </dxf>
    <dxf>
      <alignment horizontal="right" vertical="center" textRotation="0" wrapText="1" indent="0" justifyLastLine="0" shrinkToFit="0" readingOrder="0"/>
    </dxf>
    <dxf>
      <alignment horizontal="right" vertical="center" textRotation="0" wrapText="1" indent="0" justifyLastLine="0" shrinkToFit="0" readingOrder="0"/>
    </dxf>
    <dxf>
      <alignment horizontal="right" vertical="center" textRotation="0" wrapText="1" indent="0" justifyLastLine="0" shrinkToFit="0" readingOrder="0"/>
    </dxf>
    <dxf>
      <alignment horizontal="right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right" vertical="center" textRotation="0" wrapText="1" indent="0" justifyLastLine="0" shrinkToFit="0" readingOrder="0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Runtime vs Grid Size for Serial and OpenMP Implementations of SIR</a:t>
            </a:r>
            <a:r>
              <a:rPr lang="en-US" baseline="0"/>
              <a:t> Simulation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Serial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squar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Sheet1!$D$2:$D$7</c:f>
              <c:numCache>
                <c:formatCode>General</c:formatCode>
                <c:ptCount val="6"/>
                <c:pt idx="0">
                  <c:v>500</c:v>
                </c:pt>
                <c:pt idx="1">
                  <c:v>1000</c:v>
                </c:pt>
                <c:pt idx="2">
                  <c:v>2000</c:v>
                </c:pt>
                <c:pt idx="3">
                  <c:v>5000</c:v>
                </c:pt>
                <c:pt idx="4">
                  <c:v>10000</c:v>
                </c:pt>
                <c:pt idx="5">
                  <c:v>20000</c:v>
                </c:pt>
              </c:numCache>
            </c:numRef>
          </c:xVal>
          <c:yVal>
            <c:numRef>
              <c:f>Sheet1!$F$2:$F$7</c:f>
              <c:numCache>
                <c:formatCode>General</c:formatCode>
                <c:ptCount val="6"/>
                <c:pt idx="0">
                  <c:v>10.1472</c:v>
                </c:pt>
                <c:pt idx="1">
                  <c:v>37.576099999999997</c:v>
                </c:pt>
                <c:pt idx="2">
                  <c:v>153.69399999999999</c:v>
                </c:pt>
                <c:pt idx="3">
                  <c:v>984.98099999999999</c:v>
                </c:pt>
                <c:pt idx="4">
                  <c:v>3715.41</c:v>
                </c:pt>
                <c:pt idx="5">
                  <c:v>15741.2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715-4157-99D9-A86E8AE8735C}"/>
            </c:ext>
          </c:extLst>
        </c:ser>
        <c:ser>
          <c:idx val="1"/>
          <c:order val="1"/>
          <c:tx>
            <c:v>OpenMP (1 thread)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Sheet1!$D$8:$D$13</c:f>
              <c:numCache>
                <c:formatCode>General</c:formatCode>
                <c:ptCount val="6"/>
                <c:pt idx="0">
                  <c:v>500</c:v>
                </c:pt>
                <c:pt idx="1">
                  <c:v>1000</c:v>
                </c:pt>
                <c:pt idx="2">
                  <c:v>2000</c:v>
                </c:pt>
                <c:pt idx="3">
                  <c:v>5000</c:v>
                </c:pt>
                <c:pt idx="4">
                  <c:v>10000</c:v>
                </c:pt>
                <c:pt idx="5">
                  <c:v>20000</c:v>
                </c:pt>
              </c:numCache>
            </c:numRef>
          </c:xVal>
          <c:yVal>
            <c:numRef>
              <c:f>Sheet1!$F$8:$F$13</c:f>
              <c:numCache>
                <c:formatCode>General</c:formatCode>
                <c:ptCount val="6"/>
                <c:pt idx="0">
                  <c:v>18.944900000000001</c:v>
                </c:pt>
                <c:pt idx="1">
                  <c:v>72.347399999999993</c:v>
                </c:pt>
                <c:pt idx="2">
                  <c:v>270.108</c:v>
                </c:pt>
                <c:pt idx="3">
                  <c:v>1820.39</c:v>
                </c:pt>
                <c:pt idx="4">
                  <c:v>7118.34</c:v>
                </c:pt>
                <c:pt idx="5">
                  <c:v>27532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715-4157-99D9-A86E8AE8735C}"/>
            </c:ext>
          </c:extLst>
        </c:ser>
        <c:ser>
          <c:idx val="2"/>
          <c:order val="2"/>
          <c:tx>
            <c:v>OpenMP (2 threads)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squar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Sheet1!$D$14:$D$19</c:f>
              <c:numCache>
                <c:formatCode>General</c:formatCode>
                <c:ptCount val="6"/>
                <c:pt idx="0">
                  <c:v>500</c:v>
                </c:pt>
                <c:pt idx="1">
                  <c:v>1000</c:v>
                </c:pt>
                <c:pt idx="2">
                  <c:v>2000</c:v>
                </c:pt>
                <c:pt idx="3">
                  <c:v>5000</c:v>
                </c:pt>
                <c:pt idx="4">
                  <c:v>10000</c:v>
                </c:pt>
                <c:pt idx="5">
                  <c:v>20000</c:v>
                </c:pt>
              </c:numCache>
            </c:numRef>
          </c:xVal>
          <c:yVal>
            <c:numRef>
              <c:f>Sheet1!$F$14:$F$19</c:f>
              <c:numCache>
                <c:formatCode>General</c:formatCode>
                <c:ptCount val="6"/>
                <c:pt idx="0">
                  <c:v>9.0174199999999995</c:v>
                </c:pt>
                <c:pt idx="1">
                  <c:v>37.260300000000001</c:v>
                </c:pt>
                <c:pt idx="2">
                  <c:v>147.09100000000001</c:v>
                </c:pt>
                <c:pt idx="3">
                  <c:v>768.62800000000004</c:v>
                </c:pt>
                <c:pt idx="4">
                  <c:v>3296.16</c:v>
                </c:pt>
                <c:pt idx="5">
                  <c:v>5197.59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0715-4157-99D9-A86E8AE8735C}"/>
            </c:ext>
          </c:extLst>
        </c:ser>
        <c:ser>
          <c:idx val="3"/>
          <c:order val="3"/>
          <c:tx>
            <c:v>OpenMP (4 threads)</c:v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squar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Sheet1!$D$20:$D$25</c:f>
              <c:numCache>
                <c:formatCode>General</c:formatCode>
                <c:ptCount val="6"/>
                <c:pt idx="0">
                  <c:v>500</c:v>
                </c:pt>
                <c:pt idx="1">
                  <c:v>1000</c:v>
                </c:pt>
                <c:pt idx="2">
                  <c:v>2000</c:v>
                </c:pt>
                <c:pt idx="3">
                  <c:v>5000</c:v>
                </c:pt>
                <c:pt idx="4">
                  <c:v>10000</c:v>
                </c:pt>
                <c:pt idx="5">
                  <c:v>20000</c:v>
                </c:pt>
              </c:numCache>
            </c:numRef>
          </c:xVal>
          <c:yVal>
            <c:numRef>
              <c:f>Sheet1!$F$20:$F$25</c:f>
              <c:numCache>
                <c:formatCode>General</c:formatCode>
                <c:ptCount val="6"/>
                <c:pt idx="0">
                  <c:v>1.5293300000000001</c:v>
                </c:pt>
                <c:pt idx="1">
                  <c:v>19.9206</c:v>
                </c:pt>
                <c:pt idx="2">
                  <c:v>74.463200000000001</c:v>
                </c:pt>
                <c:pt idx="3">
                  <c:v>490.16300000000001</c:v>
                </c:pt>
                <c:pt idx="4">
                  <c:v>795.21100000000001</c:v>
                </c:pt>
                <c:pt idx="5">
                  <c:v>2435.89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0715-4157-99D9-A86E8AE8735C}"/>
            </c:ext>
          </c:extLst>
        </c:ser>
        <c:ser>
          <c:idx val="4"/>
          <c:order val="4"/>
          <c:tx>
            <c:v>OpenMP (8 threads)</c:v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squar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Sheet1!$D$26:$D$31</c:f>
              <c:numCache>
                <c:formatCode>General</c:formatCode>
                <c:ptCount val="6"/>
                <c:pt idx="0">
                  <c:v>500</c:v>
                </c:pt>
                <c:pt idx="1">
                  <c:v>1000</c:v>
                </c:pt>
                <c:pt idx="2">
                  <c:v>2000</c:v>
                </c:pt>
                <c:pt idx="3">
                  <c:v>5000</c:v>
                </c:pt>
                <c:pt idx="4">
                  <c:v>10000</c:v>
                </c:pt>
                <c:pt idx="5">
                  <c:v>20000</c:v>
                </c:pt>
              </c:numCache>
            </c:numRef>
          </c:xVal>
          <c:yVal>
            <c:numRef>
              <c:f>Sheet1!$F$26:$F$31</c:f>
              <c:numCache>
                <c:formatCode>General</c:formatCode>
                <c:ptCount val="6"/>
                <c:pt idx="0">
                  <c:v>2.24614</c:v>
                </c:pt>
                <c:pt idx="1">
                  <c:v>9.6973199999999995</c:v>
                </c:pt>
                <c:pt idx="2">
                  <c:v>38.018300000000004</c:v>
                </c:pt>
                <c:pt idx="3">
                  <c:v>245.98400000000001</c:v>
                </c:pt>
                <c:pt idx="4">
                  <c:v>758.09299999999996</c:v>
                </c:pt>
                <c:pt idx="5">
                  <c:v>2417.1999999999998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0715-4157-99D9-A86E8AE8735C}"/>
            </c:ext>
          </c:extLst>
        </c:ser>
        <c:ser>
          <c:idx val="5"/>
          <c:order val="5"/>
          <c:tx>
            <c:v>OpenMP (16 threads)</c:v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squar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Sheet1!$D$32:$D$37</c:f>
              <c:numCache>
                <c:formatCode>General</c:formatCode>
                <c:ptCount val="6"/>
                <c:pt idx="0">
                  <c:v>500</c:v>
                </c:pt>
                <c:pt idx="1">
                  <c:v>1000</c:v>
                </c:pt>
                <c:pt idx="2">
                  <c:v>2000</c:v>
                </c:pt>
                <c:pt idx="3">
                  <c:v>5000</c:v>
                </c:pt>
                <c:pt idx="4">
                  <c:v>10000</c:v>
                </c:pt>
                <c:pt idx="5">
                  <c:v>20000</c:v>
                </c:pt>
              </c:numCache>
            </c:numRef>
          </c:xVal>
          <c:yVal>
            <c:numRef>
              <c:f>Sheet1!$F$32:$F$37</c:f>
              <c:numCache>
                <c:formatCode>General</c:formatCode>
                <c:ptCount val="6"/>
                <c:pt idx="0">
                  <c:v>1.43482</c:v>
                </c:pt>
                <c:pt idx="1">
                  <c:v>5.1630900000000004</c:v>
                </c:pt>
                <c:pt idx="2">
                  <c:v>14.9361</c:v>
                </c:pt>
                <c:pt idx="3">
                  <c:v>105.21299999999999</c:v>
                </c:pt>
                <c:pt idx="4">
                  <c:v>397.67700000000002</c:v>
                </c:pt>
                <c:pt idx="5">
                  <c:v>1428.63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0715-4157-99D9-A86E8AE8735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1588159"/>
        <c:axId val="181589119"/>
      </c:scatterChart>
      <c:valAx>
        <c:axId val="181588159"/>
        <c:scaling>
          <c:logBase val="10"/>
          <c:orientation val="minMax"/>
          <c:max val="30000"/>
          <c:min val="3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Grid Width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1589119"/>
        <c:crosses val="autoZero"/>
        <c:crossBetween val="midCat"/>
      </c:valAx>
      <c:valAx>
        <c:axId val="181589119"/>
        <c:scaling>
          <c:logBase val="10"/>
          <c:orientation val="minMax"/>
          <c:max val="30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Total Time (s)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158815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0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Speedup vs Threads for OpenMP SIR Simulation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500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squar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(Sheet1!$B$8,Sheet1!$B$14,Sheet1!$B$20,Sheet1!$B$26,Sheet1!$B$32)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8</c:v>
                </c:pt>
                <c:pt idx="4">
                  <c:v>16</c:v>
                </c:pt>
              </c:numCache>
            </c:numRef>
          </c:xVal>
          <c:yVal>
            <c:numRef>
              <c:f>(Sheet1!$I$8,Sheet1!$I$14,Sheet1!$I$20,Sheet1!$I$26,Sheet1!$I$32)</c:f>
              <c:numCache>
                <c:formatCode>General</c:formatCode>
                <c:ptCount val="5"/>
                <c:pt idx="0">
                  <c:v>1</c:v>
                </c:pt>
                <c:pt idx="1">
                  <c:v>2.1009224367945598</c:v>
                </c:pt>
                <c:pt idx="2">
                  <c:v>12.387712266155768</c:v>
                </c:pt>
                <c:pt idx="3">
                  <c:v>8.4344252807037847</c:v>
                </c:pt>
                <c:pt idx="4">
                  <c:v>13.203677116293333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0842-490F-89A5-8462CB653F77}"/>
            </c:ext>
          </c:extLst>
        </c:ser>
        <c:ser>
          <c:idx val="1"/>
          <c:order val="1"/>
          <c:tx>
            <c:v>1000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(Sheet1!$B$9,Sheet1!$B$15,Sheet1!$B$21,Sheet1!$B$27,Sheet1!$B$33)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8</c:v>
                </c:pt>
                <c:pt idx="4">
                  <c:v>16</c:v>
                </c:pt>
              </c:numCache>
            </c:numRef>
          </c:xVal>
          <c:yVal>
            <c:numRef>
              <c:f>(Sheet1!$I$9,Sheet1!$I$15,Sheet1!$I$21,Sheet1!$I$27,Sheet1!$I$33)</c:f>
              <c:numCache>
                <c:formatCode>General</c:formatCode>
                <c:ptCount val="5"/>
                <c:pt idx="0">
                  <c:v>1</c:v>
                </c:pt>
                <c:pt idx="1">
                  <c:v>1.9416751878004201</c:v>
                </c:pt>
                <c:pt idx="2">
                  <c:v>3.6317881991506278</c:v>
                </c:pt>
                <c:pt idx="3">
                  <c:v>7.4605561124104387</c:v>
                </c:pt>
                <c:pt idx="4">
                  <c:v>14.01242279332725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0842-490F-89A5-8462CB653F77}"/>
            </c:ext>
          </c:extLst>
        </c:ser>
        <c:ser>
          <c:idx val="2"/>
          <c:order val="2"/>
          <c:tx>
            <c:v>2000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squar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(Sheet1!$B$10,Sheet1!$B$16,Sheet1!$B$22,Sheet1!$B$28,Sheet1!$B$34)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8</c:v>
                </c:pt>
                <c:pt idx="4">
                  <c:v>16</c:v>
                </c:pt>
              </c:numCache>
            </c:numRef>
          </c:xVal>
          <c:yVal>
            <c:numRef>
              <c:f>(Sheet1!$I$10,Sheet1!$I$16,Sheet1!$I$22,Sheet1!$I$28,Sheet1!$I$34)</c:f>
              <c:numCache>
                <c:formatCode>General</c:formatCode>
                <c:ptCount val="5"/>
                <c:pt idx="0">
                  <c:v>1</c:v>
                </c:pt>
                <c:pt idx="1">
                  <c:v>1.836332610424839</c:v>
                </c:pt>
                <c:pt idx="2">
                  <c:v>3.6274025290344762</c:v>
                </c:pt>
                <c:pt idx="3">
                  <c:v>7.1046837970135428</c:v>
                </c:pt>
                <c:pt idx="4">
                  <c:v>18.084238857533091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0842-490F-89A5-8462CB653F77}"/>
            </c:ext>
          </c:extLst>
        </c:ser>
        <c:ser>
          <c:idx val="3"/>
          <c:order val="3"/>
          <c:tx>
            <c:v>5000</c:v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squar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(Sheet1!$B$11,Sheet1!$B$17,Sheet1!$B$23,Sheet1!$B$29,Sheet1!$B$35)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8</c:v>
                </c:pt>
                <c:pt idx="4">
                  <c:v>16</c:v>
                </c:pt>
              </c:numCache>
            </c:numRef>
          </c:xVal>
          <c:yVal>
            <c:numRef>
              <c:f>(Sheet1!$I$11,Sheet1!$I$17,Sheet1!$I$23,Sheet1!$I$29,Sheet1!$I$35)</c:f>
              <c:numCache>
                <c:formatCode>General</c:formatCode>
                <c:ptCount val="5"/>
                <c:pt idx="0">
                  <c:v>1</c:v>
                </c:pt>
                <c:pt idx="1">
                  <c:v>2.3683628491285771</c:v>
                </c:pt>
                <c:pt idx="2">
                  <c:v>3.713846210342274</c:v>
                </c:pt>
                <c:pt idx="3">
                  <c:v>7.4004406790685575</c:v>
                </c:pt>
                <c:pt idx="4">
                  <c:v>17.301949378879037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0842-490F-89A5-8462CB653F77}"/>
            </c:ext>
          </c:extLst>
        </c:ser>
        <c:ser>
          <c:idx val="4"/>
          <c:order val="4"/>
          <c:tx>
            <c:v>10000</c:v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squar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(Sheet1!$B$12,Sheet1!$B$18,Sheet1!$B$24,Sheet1!$B$30,Sheet1!$B$36)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8</c:v>
                </c:pt>
                <c:pt idx="4">
                  <c:v>16</c:v>
                </c:pt>
              </c:numCache>
            </c:numRef>
          </c:xVal>
          <c:yVal>
            <c:numRef>
              <c:f>(Sheet1!$I$12,Sheet1!$I$18,Sheet1!$I$24,Sheet1!$I$30,Sheet1!$I$36)</c:f>
              <c:numCache>
                <c:formatCode>General</c:formatCode>
                <c:ptCount val="5"/>
                <c:pt idx="0">
                  <c:v>1</c:v>
                </c:pt>
                <c:pt idx="1">
                  <c:v>2.1595856997233147</c:v>
                </c:pt>
                <c:pt idx="2">
                  <c:v>8.9515109826197072</c:v>
                </c:pt>
                <c:pt idx="3">
                  <c:v>9.3897978216392985</c:v>
                </c:pt>
                <c:pt idx="4">
                  <c:v>17.899803106541238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0842-490F-89A5-8462CB653F77}"/>
            </c:ext>
          </c:extLst>
        </c:ser>
        <c:ser>
          <c:idx val="5"/>
          <c:order val="5"/>
          <c:tx>
            <c:v>20000</c:v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squar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(Sheet1!$B$13,Sheet1!$B$19,Sheet1!$B$25,Sheet1!$B$31,Sheet1!$B$37)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8</c:v>
                </c:pt>
                <c:pt idx="4">
                  <c:v>16</c:v>
                </c:pt>
              </c:numCache>
            </c:numRef>
          </c:xVal>
          <c:yVal>
            <c:numRef>
              <c:f>(Sheet1!$I$13,Sheet1!$I$19,Sheet1!$I$25,Sheet1!$I$31,Sheet1!$I$37)</c:f>
              <c:numCache>
                <c:formatCode>General</c:formatCode>
                <c:ptCount val="5"/>
                <c:pt idx="0">
                  <c:v>1</c:v>
                </c:pt>
                <c:pt idx="1">
                  <c:v>5.2970703729997943</c:v>
                </c:pt>
                <c:pt idx="2">
                  <c:v>11.302645029126932</c:v>
                </c:pt>
                <c:pt idx="3">
                  <c:v>11.390038060565946</c:v>
                </c:pt>
                <c:pt idx="4">
                  <c:v>19.271609863995575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0842-490F-89A5-8462CB653F77}"/>
            </c:ext>
          </c:extLst>
        </c:ser>
        <c:ser>
          <c:idx val="6"/>
          <c:order val="6"/>
          <c:tx>
            <c:v>Ideal</c:v>
          </c:tx>
          <c:spPr>
            <a:ln w="19050" cap="rnd">
              <a:solidFill>
                <a:schemeClr val="tx1"/>
              </a:solidFill>
              <a:prstDash val="dash"/>
              <a:round/>
            </a:ln>
            <a:effectLst/>
          </c:spPr>
          <c:marker>
            <c:symbol val="none"/>
          </c:marker>
          <c:xVal>
            <c:numRef>
              <c:f>(Sheet1!$B$8,Sheet1!$B$14,Sheet1!$B$20,Sheet1!$B$26,Sheet1!$B$32)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8</c:v>
                </c:pt>
                <c:pt idx="4">
                  <c:v>16</c:v>
                </c:pt>
              </c:numCache>
            </c:numRef>
          </c:xVal>
          <c:yVal>
            <c:numLit>
              <c:formatCode>General</c:formatCode>
              <c:ptCount val="5"/>
              <c:pt idx="0">
                <c:v>1</c:v>
              </c:pt>
              <c:pt idx="1">
                <c:v>2</c:v>
              </c:pt>
              <c:pt idx="2">
                <c:v>4</c:v>
              </c:pt>
              <c:pt idx="3">
                <c:v>8</c:v>
              </c:pt>
              <c:pt idx="4">
                <c:v>16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8-0842-490F-89A5-8462CB653F7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5974671"/>
        <c:axId val="135975151"/>
      </c:scatterChart>
      <c:valAx>
        <c:axId val="135974671"/>
        <c:scaling>
          <c:orientation val="minMax"/>
          <c:max val="16"/>
          <c:min val="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Threads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5975151"/>
        <c:crosses val="autoZero"/>
        <c:crossBetween val="midCat"/>
      </c:valAx>
      <c:valAx>
        <c:axId val="1359751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Speedup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597467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Efficiency vs Threads for OpenMP SIR Simulation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500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squar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(Sheet1!$B$8,Sheet1!$B$14,Sheet1!$B$20,Sheet1!$B$26,Sheet1!$B$32)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8</c:v>
                </c:pt>
                <c:pt idx="4">
                  <c:v>16</c:v>
                </c:pt>
              </c:numCache>
            </c:numRef>
          </c:xVal>
          <c:yVal>
            <c:numRef>
              <c:f>(Sheet1!$J$8,Sheet1!$J$14,Sheet1!$J$20,Sheet1!$J$26,Sheet1!$J$32)</c:f>
              <c:numCache>
                <c:formatCode>General</c:formatCode>
                <c:ptCount val="5"/>
                <c:pt idx="0">
                  <c:v>1</c:v>
                </c:pt>
                <c:pt idx="1">
                  <c:v>1.0504612183972799</c:v>
                </c:pt>
                <c:pt idx="2">
                  <c:v>3.096928066538942</c:v>
                </c:pt>
                <c:pt idx="3">
                  <c:v>1.0543031600879731</c:v>
                </c:pt>
                <c:pt idx="4">
                  <c:v>0.82522981976833332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B4E-4C4A-9296-D135DEE5B774}"/>
            </c:ext>
          </c:extLst>
        </c:ser>
        <c:ser>
          <c:idx val="1"/>
          <c:order val="1"/>
          <c:tx>
            <c:v>1000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(Sheet1!$B$9,Sheet1!$B$15,Sheet1!$B$21,Sheet1!$B$27,Sheet1!$B$33)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8</c:v>
                </c:pt>
                <c:pt idx="4">
                  <c:v>16</c:v>
                </c:pt>
              </c:numCache>
            </c:numRef>
          </c:xVal>
          <c:yVal>
            <c:numRef>
              <c:f>(Sheet1!$J$9,Sheet1!$J$15,Sheet1!$J$21,Sheet1!$J$27,Sheet1!$J$33)</c:f>
              <c:numCache>
                <c:formatCode>General</c:formatCode>
                <c:ptCount val="5"/>
                <c:pt idx="0">
                  <c:v>1</c:v>
                </c:pt>
                <c:pt idx="1">
                  <c:v>0.97083759390021007</c:v>
                </c:pt>
                <c:pt idx="2">
                  <c:v>0.90794704978765695</c:v>
                </c:pt>
                <c:pt idx="3">
                  <c:v>0.93256951405130484</c:v>
                </c:pt>
                <c:pt idx="4">
                  <c:v>0.87577642458295313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B4E-4C4A-9296-D135DEE5B774}"/>
            </c:ext>
          </c:extLst>
        </c:ser>
        <c:ser>
          <c:idx val="2"/>
          <c:order val="2"/>
          <c:tx>
            <c:v>2000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squar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(Sheet1!$B$10,Sheet1!$B$16,Sheet1!$B$22,Sheet1!$B$28,Sheet1!$B$34)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8</c:v>
                </c:pt>
                <c:pt idx="4">
                  <c:v>16</c:v>
                </c:pt>
              </c:numCache>
            </c:numRef>
          </c:xVal>
          <c:yVal>
            <c:numRef>
              <c:f>(Sheet1!$J$10,Sheet1!$J$16,Sheet1!$J$22,Sheet1!$J$28,Sheet1!$J$34)</c:f>
              <c:numCache>
                <c:formatCode>General</c:formatCode>
                <c:ptCount val="5"/>
                <c:pt idx="0">
                  <c:v>1</c:v>
                </c:pt>
                <c:pt idx="1">
                  <c:v>0.91816630521241949</c:v>
                </c:pt>
                <c:pt idx="2">
                  <c:v>0.90685063225861906</c:v>
                </c:pt>
                <c:pt idx="3">
                  <c:v>0.88808547462669285</c:v>
                </c:pt>
                <c:pt idx="4">
                  <c:v>1.1302649285958182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AB4E-4C4A-9296-D135DEE5B774}"/>
            </c:ext>
          </c:extLst>
        </c:ser>
        <c:ser>
          <c:idx val="3"/>
          <c:order val="3"/>
          <c:tx>
            <c:v>5000</c:v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squar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(Sheet1!$B$11,Sheet1!$B$17,Sheet1!$B$23,Sheet1!$B$29,Sheet1!$B$35)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8</c:v>
                </c:pt>
                <c:pt idx="4">
                  <c:v>16</c:v>
                </c:pt>
              </c:numCache>
            </c:numRef>
          </c:xVal>
          <c:yVal>
            <c:numRef>
              <c:f>(Sheet1!$J$11,Sheet1!$J$17,Sheet1!$J$23,Sheet1!$J$29,Sheet1!$J$35)</c:f>
              <c:numCache>
                <c:formatCode>General</c:formatCode>
                <c:ptCount val="5"/>
                <c:pt idx="0">
                  <c:v>1</c:v>
                </c:pt>
                <c:pt idx="1">
                  <c:v>1.1841814245642885</c:v>
                </c:pt>
                <c:pt idx="2">
                  <c:v>0.92846155258556851</c:v>
                </c:pt>
                <c:pt idx="3">
                  <c:v>0.92505508488356969</c:v>
                </c:pt>
                <c:pt idx="4">
                  <c:v>1.0813718361799398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AB4E-4C4A-9296-D135DEE5B774}"/>
            </c:ext>
          </c:extLst>
        </c:ser>
        <c:ser>
          <c:idx val="4"/>
          <c:order val="4"/>
          <c:tx>
            <c:v>10000</c:v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squar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(Sheet1!$B$12,Sheet1!$B$18,Sheet1!$B$24,Sheet1!$B$30,Sheet1!$B$36)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8</c:v>
                </c:pt>
                <c:pt idx="4">
                  <c:v>16</c:v>
                </c:pt>
              </c:numCache>
            </c:numRef>
          </c:xVal>
          <c:yVal>
            <c:numRef>
              <c:f>(Sheet1!$J$12,Sheet1!$J$18,Sheet1!$J$24,Sheet1!$J$30,Sheet1!$J$36)</c:f>
              <c:numCache>
                <c:formatCode>General</c:formatCode>
                <c:ptCount val="5"/>
                <c:pt idx="0">
                  <c:v>1</c:v>
                </c:pt>
                <c:pt idx="1">
                  <c:v>1.0797928498616574</c:v>
                </c:pt>
                <c:pt idx="2">
                  <c:v>2.2378777456549268</c:v>
                </c:pt>
                <c:pt idx="3">
                  <c:v>1.1737247277049123</c:v>
                </c:pt>
                <c:pt idx="4">
                  <c:v>1.1187376941588274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AB4E-4C4A-9296-D135DEE5B774}"/>
            </c:ext>
          </c:extLst>
        </c:ser>
        <c:ser>
          <c:idx val="5"/>
          <c:order val="5"/>
          <c:tx>
            <c:v>20000</c:v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squar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(Sheet1!$B$13,Sheet1!$B$19,Sheet1!$B$25,Sheet1!$B$31,Sheet1!$B$37)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8</c:v>
                </c:pt>
                <c:pt idx="4">
                  <c:v>16</c:v>
                </c:pt>
              </c:numCache>
            </c:numRef>
          </c:xVal>
          <c:yVal>
            <c:numRef>
              <c:f>(Sheet1!$J$13,Sheet1!$J$19,Sheet1!$J$25,Sheet1!$J$31,Sheet1!$J$37)</c:f>
              <c:numCache>
                <c:formatCode>General</c:formatCode>
                <c:ptCount val="5"/>
                <c:pt idx="0">
                  <c:v>1</c:v>
                </c:pt>
                <c:pt idx="1">
                  <c:v>2.6485351864998972</c:v>
                </c:pt>
                <c:pt idx="2">
                  <c:v>2.825661257281733</c:v>
                </c:pt>
                <c:pt idx="3">
                  <c:v>1.4237547575707432</c:v>
                </c:pt>
                <c:pt idx="4">
                  <c:v>1.2044756164997235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AB4E-4C4A-9296-D135DEE5B774}"/>
            </c:ext>
          </c:extLst>
        </c:ser>
        <c:ser>
          <c:idx val="6"/>
          <c:order val="6"/>
          <c:tx>
            <c:v>Ideal</c:v>
          </c:tx>
          <c:spPr>
            <a:ln w="19050" cap="rnd">
              <a:solidFill>
                <a:schemeClr val="tx1"/>
              </a:solidFill>
              <a:prstDash val="dash"/>
              <a:round/>
            </a:ln>
            <a:effectLst/>
          </c:spPr>
          <c:marker>
            <c:symbol val="none"/>
          </c:marker>
          <c:xVal>
            <c:numRef>
              <c:f>(Sheet1!$B$8,Sheet1!$B$14,Sheet1!$B$20,Sheet1!$B$26,Sheet1!$B$32)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8</c:v>
                </c:pt>
                <c:pt idx="4">
                  <c:v>16</c:v>
                </c:pt>
              </c:numCache>
            </c:numRef>
          </c:xVal>
          <c:yVal>
            <c:numLit>
              <c:formatCode>General</c:formatCode>
              <c:ptCount val="5"/>
              <c:pt idx="0">
                <c:v>1</c:v>
              </c:pt>
              <c:pt idx="1">
                <c:v>1</c:v>
              </c:pt>
              <c:pt idx="2">
                <c:v>1</c:v>
              </c:pt>
              <c:pt idx="3">
                <c:v>1</c:v>
              </c:pt>
              <c:pt idx="4">
                <c:v>1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6-AB4E-4C4A-9296-D135DEE5B77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40864383"/>
        <c:axId val="340867743"/>
      </c:scatterChart>
      <c:valAx>
        <c:axId val="340864383"/>
        <c:scaling>
          <c:orientation val="minMax"/>
          <c:max val="16"/>
          <c:min val="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Threads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0867743"/>
        <c:crosses val="autoZero"/>
        <c:crossBetween val="midCat"/>
      </c:valAx>
      <c:valAx>
        <c:axId val="3408677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Efficiency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0864383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Speedup vs Processes for MPI SIR Simulation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500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squar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(Sheet1!$B$8,Sheet1!$B$14,Sheet1!$B$20,Sheet1!$B$26,Sheet1!$B$32)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8</c:v>
                </c:pt>
                <c:pt idx="4">
                  <c:v>16</c:v>
                </c:pt>
              </c:numCache>
            </c:numRef>
          </c:xVal>
          <c:yVal>
            <c:numRef>
              <c:f>(Sheet1!$I$38,Sheet1!$I$44,Sheet1!$I$50,Sheet1!$I$56,Sheet1!$I$62,Sheet1!$I$68,Sheet1!$I$74)</c:f>
              <c:numCache>
                <c:formatCode>General</c:formatCode>
                <c:ptCount val="7"/>
                <c:pt idx="0">
                  <c:v>1</c:v>
                </c:pt>
                <c:pt idx="1">
                  <c:v>0.85431195117324799</c:v>
                </c:pt>
                <c:pt idx="2">
                  <c:v>1.4642080251664937</c:v>
                </c:pt>
                <c:pt idx="3">
                  <c:v>4.7383762307611379</c:v>
                </c:pt>
                <c:pt idx="4">
                  <c:v>5.5535528420197506</c:v>
                </c:pt>
                <c:pt idx="5">
                  <c:v>8.8597290565579243</c:v>
                </c:pt>
                <c:pt idx="6">
                  <c:v>12.800361110414524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A46-49EC-A057-51ABC391D508}"/>
            </c:ext>
          </c:extLst>
        </c:ser>
        <c:ser>
          <c:idx val="1"/>
          <c:order val="1"/>
          <c:tx>
            <c:v>1000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(Sheet1!$B$9,Sheet1!$B$15,Sheet1!$B$21,Sheet1!$B$27,Sheet1!$B$33)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8</c:v>
                </c:pt>
                <c:pt idx="4">
                  <c:v>16</c:v>
                </c:pt>
              </c:numCache>
            </c:numRef>
          </c:xVal>
          <c:yVal>
            <c:numRef>
              <c:f>(Sheet1!$I$39,Sheet1!$I$45,Sheet1!$I$51,Sheet1!$I$57,Sheet1!$I$63,Sheet1!$I$39,Sheet1!$I$45,Sheet1!$I$51,Sheet1!$I$57,Sheet1!$I$63,Sheet1!$I$69,Sheet1!$I$75)</c:f>
              <c:numCache>
                <c:formatCode>General</c:formatCode>
                <c:ptCount val="12"/>
                <c:pt idx="0">
                  <c:v>1</c:v>
                </c:pt>
                <c:pt idx="1">
                  <c:v>1.3610046869834109</c:v>
                </c:pt>
                <c:pt idx="2">
                  <c:v>2.1367711874886455</c:v>
                </c:pt>
                <c:pt idx="3">
                  <c:v>3.0180440492157476</c:v>
                </c:pt>
                <c:pt idx="4">
                  <c:v>6.7897060250315322</c:v>
                </c:pt>
                <c:pt idx="5">
                  <c:v>1</c:v>
                </c:pt>
                <c:pt idx="6">
                  <c:v>1.3610046869834109</c:v>
                </c:pt>
                <c:pt idx="7">
                  <c:v>2.1367711874886455</c:v>
                </c:pt>
                <c:pt idx="8">
                  <c:v>3.0180440492157476</c:v>
                </c:pt>
                <c:pt idx="9">
                  <c:v>6.7897060250315322</c:v>
                </c:pt>
                <c:pt idx="10">
                  <c:v>10.43083274954912</c:v>
                </c:pt>
                <c:pt idx="11">
                  <c:v>19.315125395202234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A46-49EC-A057-51ABC391D508}"/>
            </c:ext>
          </c:extLst>
        </c:ser>
        <c:ser>
          <c:idx val="2"/>
          <c:order val="2"/>
          <c:tx>
            <c:v>2000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squar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(Sheet1!$B$10,Sheet1!$B$16,Sheet1!$B$22,Sheet1!$B$28,Sheet1!$B$34)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8</c:v>
                </c:pt>
                <c:pt idx="4">
                  <c:v>16</c:v>
                </c:pt>
              </c:numCache>
            </c:numRef>
          </c:xVal>
          <c:yVal>
            <c:numRef>
              <c:f>(Sheet1!$I$40,Sheet1!$I$46,Sheet1!$I$52,Sheet1!$I$58,Sheet1!$I$64,Sheet1!$I$70,Sheet1!$I$76)</c:f>
              <c:numCache>
                <c:formatCode>General</c:formatCode>
                <c:ptCount val="7"/>
                <c:pt idx="0">
                  <c:v>1</c:v>
                </c:pt>
                <c:pt idx="1">
                  <c:v>1.8175612885814456</c:v>
                </c:pt>
                <c:pt idx="2">
                  <c:v>2.175456185472763</c:v>
                </c:pt>
                <c:pt idx="3">
                  <c:v>4.0562796881747323</c:v>
                </c:pt>
                <c:pt idx="4">
                  <c:v>8.8410153144249843</c:v>
                </c:pt>
                <c:pt idx="5">
                  <c:v>13.554434071348423</c:v>
                </c:pt>
                <c:pt idx="6">
                  <c:v>21.357616191231248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2A46-49EC-A057-51ABC391D508}"/>
            </c:ext>
          </c:extLst>
        </c:ser>
        <c:ser>
          <c:idx val="3"/>
          <c:order val="3"/>
          <c:tx>
            <c:v>5000</c:v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squar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(Sheet1!$B$11,Sheet1!$B$17,Sheet1!$B$23,Sheet1!$B$29,Sheet1!$B$35)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8</c:v>
                </c:pt>
                <c:pt idx="4">
                  <c:v>16</c:v>
                </c:pt>
              </c:numCache>
            </c:numRef>
          </c:xVal>
          <c:yVal>
            <c:numRef>
              <c:f>(Sheet1!$I$41,Sheet1!$I$47,Sheet1!$I$53,Sheet1!$I$59,Sheet1!$I$65,Sheet1!$I$71,Sheet1!$I$77)</c:f>
              <c:numCache>
                <c:formatCode>General</c:formatCode>
                <c:ptCount val="7"/>
                <c:pt idx="0">
                  <c:v>1</c:v>
                </c:pt>
                <c:pt idx="1">
                  <c:v>1.8600486610390932</c:v>
                </c:pt>
                <c:pt idx="2">
                  <c:v>2.5521909014792072</c:v>
                </c:pt>
                <c:pt idx="3">
                  <c:v>5.2475084724627035</c:v>
                </c:pt>
                <c:pt idx="4">
                  <c:v>10.40687380587101</c:v>
                </c:pt>
                <c:pt idx="5">
                  <c:v>15.295790323566404</c:v>
                </c:pt>
                <c:pt idx="6">
                  <c:v>25.543296089385475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2A46-49EC-A057-51ABC391D508}"/>
            </c:ext>
          </c:extLst>
        </c:ser>
        <c:ser>
          <c:idx val="4"/>
          <c:order val="4"/>
          <c:tx>
            <c:v>10000</c:v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squar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(Sheet1!$B$12,Sheet1!$B$18,Sheet1!$B$24,Sheet1!$B$30,Sheet1!$B$36)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8</c:v>
                </c:pt>
                <c:pt idx="4">
                  <c:v>16</c:v>
                </c:pt>
              </c:numCache>
            </c:numRef>
          </c:xVal>
          <c:yVal>
            <c:numRef>
              <c:f>(Sheet1!$I$42,Sheet1!$I$49,Sheet1!$I$54,Sheet1!$I$60,Sheet1!$I$66,Sheet1!$I$72,Sheet1!$I$78)</c:f>
              <c:numCache>
                <c:formatCode>General</c:formatCode>
                <c:ptCount val="7"/>
                <c:pt idx="0">
                  <c:v>1</c:v>
                </c:pt>
                <c:pt idx="1">
                  <c:v>1.6973241218680359</c:v>
                </c:pt>
                <c:pt idx="2">
                  <c:v>1.7401923007038664</c:v>
                </c:pt>
                <c:pt idx="3">
                  <c:v>2.854725979525552</c:v>
                </c:pt>
                <c:pt idx="4">
                  <c:v>7.832367008076524</c:v>
                </c:pt>
                <c:pt idx="5">
                  <c:v>11.359683923794879</c:v>
                </c:pt>
                <c:pt idx="6">
                  <c:v>20.197949240055269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2A46-49EC-A057-51ABC391D508}"/>
            </c:ext>
          </c:extLst>
        </c:ser>
        <c:ser>
          <c:idx val="5"/>
          <c:order val="5"/>
          <c:tx>
            <c:v>20000</c:v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squar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(Sheet1!$B$13,Sheet1!$B$19,Sheet1!$B$25,Sheet1!$B$31,Sheet1!$B$37)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8</c:v>
                </c:pt>
                <c:pt idx="4">
                  <c:v>16</c:v>
                </c:pt>
              </c:numCache>
            </c:numRef>
          </c:xVal>
          <c:yVal>
            <c:numRef>
              <c:f>(Sheet1!$I$43,Sheet1!$I$49,Sheet1!$I$55,Sheet1!$I$61,Sheet1!$I$67,Sheet1!$I$73,Sheet1!$I$79)</c:f>
              <c:numCache>
                <c:formatCode>General</c:formatCode>
                <c:ptCount val="7"/>
                <c:pt idx="0">
                  <c:v>1</c:v>
                </c:pt>
                <c:pt idx="1">
                  <c:v>1.6973241218680359</c:v>
                </c:pt>
                <c:pt idx="2">
                  <c:v>2.5159564284856724</c:v>
                </c:pt>
                <c:pt idx="3">
                  <c:v>4.2412863206721507</c:v>
                </c:pt>
                <c:pt idx="4">
                  <c:v>11.718879884409489</c:v>
                </c:pt>
                <c:pt idx="5">
                  <c:v>17.737858303021984</c:v>
                </c:pt>
                <c:pt idx="6">
                  <c:v>24.91492855283748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2A46-49EC-A057-51ABC391D508}"/>
            </c:ext>
          </c:extLst>
        </c:ser>
        <c:ser>
          <c:idx val="6"/>
          <c:order val="6"/>
          <c:tx>
            <c:v>Ideal</c:v>
          </c:tx>
          <c:spPr>
            <a:ln w="19050" cap="rnd">
              <a:solidFill>
                <a:schemeClr val="tx1"/>
              </a:solidFill>
              <a:prstDash val="dash"/>
              <a:round/>
            </a:ln>
            <a:effectLst/>
          </c:spPr>
          <c:marker>
            <c:symbol val="none"/>
          </c:marker>
          <c:xVal>
            <c:numRef>
              <c:f>(Sheet1!$B$8,Sheet1!$B$14,Sheet1!$B$20,Sheet1!$B$26,Sheet1!$B$32)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8</c:v>
                </c:pt>
                <c:pt idx="4">
                  <c:v>16</c:v>
                </c:pt>
              </c:numCache>
            </c:numRef>
          </c:xVal>
          <c:yVal>
            <c:numLit>
              <c:formatCode>General</c:formatCode>
              <c:ptCount val="5"/>
              <c:pt idx="0">
                <c:v>1</c:v>
              </c:pt>
              <c:pt idx="1">
                <c:v>2</c:v>
              </c:pt>
              <c:pt idx="2">
                <c:v>4</c:v>
              </c:pt>
              <c:pt idx="3">
                <c:v>8</c:v>
              </c:pt>
              <c:pt idx="4">
                <c:v>16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6-2A46-49EC-A057-51ABC391D50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5974671"/>
        <c:axId val="135975151"/>
      </c:scatterChart>
      <c:valAx>
        <c:axId val="135974671"/>
        <c:scaling>
          <c:orientation val="minMax"/>
          <c:max val="16"/>
          <c:min val="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Processes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5975151"/>
        <c:crosses val="autoZero"/>
        <c:crossBetween val="midCat"/>
      </c:valAx>
      <c:valAx>
        <c:axId val="1359751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Speedup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597467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Efficiency vs Processes for MPI SIR Simulation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0064858378286641"/>
          <c:y val="0.1405550098728868"/>
          <c:w val="0.72569272416213459"/>
          <c:h val="0.68261865940334587"/>
        </c:manualLayout>
      </c:layout>
      <c:scatterChart>
        <c:scatterStyle val="lineMarker"/>
        <c:varyColors val="0"/>
        <c:ser>
          <c:idx val="0"/>
          <c:order val="0"/>
          <c:tx>
            <c:v>500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squar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(Sheet1!$B$8,Sheet1!$B$14,Sheet1!$B$20,Sheet1!$B$26,Sheet1!$B$32)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8</c:v>
                </c:pt>
                <c:pt idx="4">
                  <c:v>16</c:v>
                </c:pt>
              </c:numCache>
            </c:numRef>
          </c:xVal>
          <c:yVal>
            <c:numRef>
              <c:f>(Sheet1!$J$38,Sheet1!$J$44,Sheet1!$J$50,Sheet1!$J$56,Sheet1!$J$62,Sheet1!$J$68,Sheet1!$J$74)</c:f>
              <c:numCache>
                <c:formatCode>General</c:formatCode>
                <c:ptCount val="7"/>
                <c:pt idx="0">
                  <c:v>1</c:v>
                </c:pt>
                <c:pt idx="1">
                  <c:v>0.42715597558662399</c:v>
                </c:pt>
                <c:pt idx="2">
                  <c:v>0.36605200629162343</c:v>
                </c:pt>
                <c:pt idx="3">
                  <c:v>0.59229702884514224</c:v>
                </c:pt>
                <c:pt idx="4">
                  <c:v>0.34709705262623441</c:v>
                </c:pt>
                <c:pt idx="5">
                  <c:v>0.27686653301743513</c:v>
                </c:pt>
                <c:pt idx="6">
                  <c:v>0.20000564235022694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143-4749-93F6-5EB336251D5B}"/>
            </c:ext>
          </c:extLst>
        </c:ser>
        <c:ser>
          <c:idx val="1"/>
          <c:order val="1"/>
          <c:tx>
            <c:v>1000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(Sheet1!$B$9,Sheet1!$B$15,Sheet1!$B$21,Sheet1!$B$27,Sheet1!$B$33)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8</c:v>
                </c:pt>
                <c:pt idx="4">
                  <c:v>16</c:v>
                </c:pt>
              </c:numCache>
            </c:numRef>
          </c:xVal>
          <c:yVal>
            <c:numRef>
              <c:f>(Sheet1!$J$39,Sheet1!$J$45,Sheet1!$J$51,Sheet1!$J$57,Sheet1!$J$63,Sheet1!$J$69,Sheet1!$J$75)</c:f>
              <c:numCache>
                <c:formatCode>General</c:formatCode>
                <c:ptCount val="7"/>
                <c:pt idx="0">
                  <c:v>1</c:v>
                </c:pt>
                <c:pt idx="1">
                  <c:v>0.68050234349170546</c:v>
                </c:pt>
                <c:pt idx="2">
                  <c:v>0.53419279687216137</c:v>
                </c:pt>
                <c:pt idx="3">
                  <c:v>0.37725550615196846</c:v>
                </c:pt>
                <c:pt idx="4">
                  <c:v>0.42435662656447076</c:v>
                </c:pt>
                <c:pt idx="5">
                  <c:v>0.32596352342341001</c:v>
                </c:pt>
                <c:pt idx="6">
                  <c:v>0.3017988343000349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143-4749-93F6-5EB336251D5B}"/>
            </c:ext>
          </c:extLst>
        </c:ser>
        <c:ser>
          <c:idx val="2"/>
          <c:order val="2"/>
          <c:tx>
            <c:v>2000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squar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(Sheet1!$B$10,Sheet1!$B$16,Sheet1!$B$22,Sheet1!$B$28,Sheet1!$B$34)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8</c:v>
                </c:pt>
                <c:pt idx="4">
                  <c:v>16</c:v>
                </c:pt>
              </c:numCache>
            </c:numRef>
          </c:xVal>
          <c:yVal>
            <c:numRef>
              <c:f>(Sheet1!$J$40,Sheet1!$J$46,Sheet1!$J$52,Sheet1!$J$58,Sheet1!$J$64,Sheet1!$J$70,Sheet1!$J$76)</c:f>
              <c:numCache>
                <c:formatCode>General</c:formatCode>
                <c:ptCount val="7"/>
                <c:pt idx="0">
                  <c:v>1</c:v>
                </c:pt>
                <c:pt idx="1">
                  <c:v>0.90878064429072281</c:v>
                </c:pt>
                <c:pt idx="2">
                  <c:v>0.54386404636819075</c:v>
                </c:pt>
                <c:pt idx="3">
                  <c:v>0.50703496102184153</c:v>
                </c:pt>
                <c:pt idx="4">
                  <c:v>0.55256345715156152</c:v>
                </c:pt>
                <c:pt idx="5">
                  <c:v>0.42357606472963821</c:v>
                </c:pt>
                <c:pt idx="6">
                  <c:v>0.33371275298798825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7143-4749-93F6-5EB336251D5B}"/>
            </c:ext>
          </c:extLst>
        </c:ser>
        <c:ser>
          <c:idx val="3"/>
          <c:order val="3"/>
          <c:tx>
            <c:v>5000</c:v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squar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(Sheet1!$B$11,Sheet1!$B$17,Sheet1!$B$23,Sheet1!$B$29,Sheet1!$B$35)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8</c:v>
                </c:pt>
                <c:pt idx="4">
                  <c:v>16</c:v>
                </c:pt>
              </c:numCache>
            </c:numRef>
          </c:xVal>
          <c:yVal>
            <c:numRef>
              <c:f>(Sheet1!$J$41,Sheet1!$J$47,Sheet1!$J$53,Sheet1!$J$59,Sheet1!$J$65,Sheet1!$J$71,Sheet1!$J$77)</c:f>
              <c:numCache>
                <c:formatCode>General</c:formatCode>
                <c:ptCount val="7"/>
                <c:pt idx="0">
                  <c:v>1</c:v>
                </c:pt>
                <c:pt idx="1">
                  <c:v>0.93002433051954658</c:v>
                </c:pt>
                <c:pt idx="2">
                  <c:v>0.63804772536980181</c:v>
                </c:pt>
                <c:pt idx="3">
                  <c:v>0.65593855905783793</c:v>
                </c:pt>
                <c:pt idx="4">
                  <c:v>0.65042961286693812</c:v>
                </c:pt>
                <c:pt idx="5">
                  <c:v>0.47799344761145013</c:v>
                </c:pt>
                <c:pt idx="6">
                  <c:v>0.39911400139664804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7143-4749-93F6-5EB336251D5B}"/>
            </c:ext>
          </c:extLst>
        </c:ser>
        <c:ser>
          <c:idx val="4"/>
          <c:order val="4"/>
          <c:tx>
            <c:v>10000</c:v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squar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(Sheet1!$B$12,Sheet1!$B$18,Sheet1!$B$24,Sheet1!$B$30,Sheet1!$B$36)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8</c:v>
                </c:pt>
                <c:pt idx="4">
                  <c:v>16</c:v>
                </c:pt>
              </c:numCache>
            </c:numRef>
          </c:xVal>
          <c:yVal>
            <c:numRef>
              <c:f>(Sheet1!$J$42,Sheet1!$J$48,Sheet1!$J$54,Sheet1!$J$60,Sheet1!$J$66,Sheet1!$J$72,Sheet1!$J$78)</c:f>
              <c:numCache>
                <c:formatCode>General</c:formatCode>
                <c:ptCount val="7"/>
                <c:pt idx="0">
                  <c:v>1</c:v>
                </c:pt>
                <c:pt idx="1">
                  <c:v>0.58931041799278594</c:v>
                </c:pt>
                <c:pt idx="2">
                  <c:v>0.43504807517596661</c:v>
                </c:pt>
                <c:pt idx="3">
                  <c:v>0.35684074744069399</c:v>
                </c:pt>
                <c:pt idx="4">
                  <c:v>0.48952293800478275</c:v>
                </c:pt>
                <c:pt idx="5">
                  <c:v>0.35499012261858998</c:v>
                </c:pt>
                <c:pt idx="6">
                  <c:v>0.31559295687586358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7143-4749-93F6-5EB336251D5B}"/>
            </c:ext>
          </c:extLst>
        </c:ser>
        <c:ser>
          <c:idx val="5"/>
          <c:order val="5"/>
          <c:tx>
            <c:v>20000</c:v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squar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(Sheet1!$B$13,Sheet1!$B$19,Sheet1!$B$25,Sheet1!$B$31,Sheet1!$B$37)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8</c:v>
                </c:pt>
                <c:pt idx="4">
                  <c:v>16</c:v>
                </c:pt>
              </c:numCache>
            </c:numRef>
          </c:xVal>
          <c:yVal>
            <c:numRef>
              <c:f>(Sheet1!$J$43,Sheet1!$J$49,Sheet1!$J$55,Sheet1!$J$61,Sheet1!$J$67,Sheet1!$J$73,Sheet1!$J$79)</c:f>
              <c:numCache>
                <c:formatCode>General</c:formatCode>
                <c:ptCount val="7"/>
                <c:pt idx="0">
                  <c:v>1</c:v>
                </c:pt>
                <c:pt idx="1">
                  <c:v>0.84866206093401797</c:v>
                </c:pt>
                <c:pt idx="2">
                  <c:v>0.62898910712141809</c:v>
                </c:pt>
                <c:pt idx="3">
                  <c:v>0.53016079008401884</c:v>
                </c:pt>
                <c:pt idx="4">
                  <c:v>0.73242999277559306</c:v>
                </c:pt>
                <c:pt idx="5">
                  <c:v>0.55430807196943699</c:v>
                </c:pt>
                <c:pt idx="6">
                  <c:v>0.38929575863808563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7143-4749-93F6-5EB336251D5B}"/>
            </c:ext>
          </c:extLst>
        </c:ser>
        <c:ser>
          <c:idx val="6"/>
          <c:order val="6"/>
          <c:tx>
            <c:v>Ideal</c:v>
          </c:tx>
          <c:spPr>
            <a:ln w="19050" cap="rnd">
              <a:solidFill>
                <a:schemeClr val="tx1"/>
              </a:solidFill>
              <a:prstDash val="dash"/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(Sheet1!$B$8,Sheet1!$B$14,Sheet1!$B$20,Sheet1!$B$26,Sheet1!$B$32)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8</c:v>
                </c:pt>
                <c:pt idx="4">
                  <c:v>16</c:v>
                </c:pt>
              </c:numCache>
            </c:numRef>
          </c:xVal>
          <c:yVal>
            <c:numLit>
              <c:formatCode>General</c:formatCode>
              <c:ptCount val="5"/>
              <c:pt idx="0">
                <c:v>1</c:v>
              </c:pt>
              <c:pt idx="1">
                <c:v>1</c:v>
              </c:pt>
              <c:pt idx="2">
                <c:v>1</c:v>
              </c:pt>
              <c:pt idx="3">
                <c:v>1</c:v>
              </c:pt>
              <c:pt idx="4">
                <c:v>1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6-7143-4749-93F6-5EB336251D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40864383"/>
        <c:axId val="340867743"/>
      </c:scatterChart>
      <c:valAx>
        <c:axId val="340864383"/>
        <c:scaling>
          <c:orientation val="minMax"/>
          <c:max val="16"/>
          <c:min val="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Threads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0867743"/>
        <c:crossesAt val="0.60000000000000009"/>
        <c:crossBetween val="midCat"/>
      </c:valAx>
      <c:valAx>
        <c:axId val="3408677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Efficiency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0864383"/>
        <c:crossesAt val="0.1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Runtime vs Grid Size for Serial and MPI Implementations of SIR</a:t>
            </a:r>
            <a:r>
              <a:rPr lang="en-US" baseline="0"/>
              <a:t> Simulation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Serial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squar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Sheet1!$D$2:$D$7</c:f>
              <c:numCache>
                <c:formatCode>General</c:formatCode>
                <c:ptCount val="6"/>
                <c:pt idx="0">
                  <c:v>500</c:v>
                </c:pt>
                <c:pt idx="1">
                  <c:v>1000</c:v>
                </c:pt>
                <c:pt idx="2">
                  <c:v>2000</c:v>
                </c:pt>
                <c:pt idx="3">
                  <c:v>5000</c:v>
                </c:pt>
                <c:pt idx="4">
                  <c:v>10000</c:v>
                </c:pt>
                <c:pt idx="5">
                  <c:v>20000</c:v>
                </c:pt>
              </c:numCache>
            </c:numRef>
          </c:xVal>
          <c:yVal>
            <c:numRef>
              <c:f>Sheet1!$F$2:$F$7</c:f>
              <c:numCache>
                <c:formatCode>General</c:formatCode>
                <c:ptCount val="6"/>
                <c:pt idx="0">
                  <c:v>10.1472</c:v>
                </c:pt>
                <c:pt idx="1">
                  <c:v>37.576099999999997</c:v>
                </c:pt>
                <c:pt idx="2">
                  <c:v>153.69399999999999</c:v>
                </c:pt>
                <c:pt idx="3">
                  <c:v>984.98099999999999</c:v>
                </c:pt>
                <c:pt idx="4">
                  <c:v>3715.41</c:v>
                </c:pt>
                <c:pt idx="5">
                  <c:v>15741.2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89E-4076-AA6D-4A081C8B84D7}"/>
            </c:ext>
          </c:extLst>
        </c:ser>
        <c:ser>
          <c:idx val="1"/>
          <c:order val="1"/>
          <c:tx>
            <c:v>MPI (1 process)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Sheet1!$D$8:$D$13</c:f>
              <c:numCache>
                <c:formatCode>General</c:formatCode>
                <c:ptCount val="6"/>
                <c:pt idx="0">
                  <c:v>500</c:v>
                </c:pt>
                <c:pt idx="1">
                  <c:v>1000</c:v>
                </c:pt>
                <c:pt idx="2">
                  <c:v>2000</c:v>
                </c:pt>
                <c:pt idx="3">
                  <c:v>5000</c:v>
                </c:pt>
                <c:pt idx="4">
                  <c:v>10000</c:v>
                </c:pt>
                <c:pt idx="5">
                  <c:v>20000</c:v>
                </c:pt>
              </c:numCache>
            </c:numRef>
          </c:xVal>
          <c:yVal>
            <c:numRef>
              <c:f>Sheet1!$F$38:$F$43</c:f>
              <c:numCache>
                <c:formatCode>General</c:formatCode>
                <c:ptCount val="6"/>
                <c:pt idx="0">
                  <c:v>3.06264</c:v>
                </c:pt>
                <c:pt idx="1">
                  <c:v>13.9963</c:v>
                </c:pt>
                <c:pt idx="2">
                  <c:v>71.388900000000007</c:v>
                </c:pt>
                <c:pt idx="3">
                  <c:v>475.51400000000001</c:v>
                </c:pt>
                <c:pt idx="4">
                  <c:v>1388.71</c:v>
                </c:pt>
                <c:pt idx="5">
                  <c:v>7753.75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89E-4076-AA6D-4A081C8B84D7}"/>
            </c:ext>
          </c:extLst>
        </c:ser>
        <c:ser>
          <c:idx val="2"/>
          <c:order val="2"/>
          <c:tx>
            <c:v>MPI (2 processes)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squar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Sheet1!$D$14:$D$19</c:f>
              <c:numCache>
                <c:formatCode>General</c:formatCode>
                <c:ptCount val="6"/>
                <c:pt idx="0">
                  <c:v>500</c:v>
                </c:pt>
                <c:pt idx="1">
                  <c:v>1000</c:v>
                </c:pt>
                <c:pt idx="2">
                  <c:v>2000</c:v>
                </c:pt>
                <c:pt idx="3">
                  <c:v>5000</c:v>
                </c:pt>
                <c:pt idx="4">
                  <c:v>10000</c:v>
                </c:pt>
                <c:pt idx="5">
                  <c:v>20000</c:v>
                </c:pt>
              </c:numCache>
            </c:numRef>
          </c:xVal>
          <c:yVal>
            <c:numRef>
              <c:f>Sheet1!$F$45:$F$49</c:f>
              <c:numCache>
                <c:formatCode>General</c:formatCode>
                <c:ptCount val="5"/>
                <c:pt idx="0">
                  <c:v>10.283799999999999</c:v>
                </c:pt>
                <c:pt idx="1">
                  <c:v>39.277299999999997</c:v>
                </c:pt>
                <c:pt idx="2">
                  <c:v>255.64599999999999</c:v>
                </c:pt>
                <c:pt idx="3">
                  <c:v>1178.25</c:v>
                </c:pt>
                <c:pt idx="4">
                  <c:v>4568.22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889E-4076-AA6D-4A081C8B84D7}"/>
            </c:ext>
          </c:extLst>
        </c:ser>
        <c:ser>
          <c:idx val="3"/>
          <c:order val="3"/>
          <c:tx>
            <c:v>MPI (4 processes)</c:v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squar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Sheet1!$D$20:$D$25</c:f>
              <c:numCache>
                <c:formatCode>General</c:formatCode>
                <c:ptCount val="6"/>
                <c:pt idx="0">
                  <c:v>500</c:v>
                </c:pt>
                <c:pt idx="1">
                  <c:v>1000</c:v>
                </c:pt>
                <c:pt idx="2">
                  <c:v>2000</c:v>
                </c:pt>
                <c:pt idx="3">
                  <c:v>5000</c:v>
                </c:pt>
                <c:pt idx="4">
                  <c:v>10000</c:v>
                </c:pt>
                <c:pt idx="5">
                  <c:v>20000</c:v>
                </c:pt>
              </c:numCache>
            </c:numRef>
          </c:xVal>
          <c:yVal>
            <c:numRef>
              <c:f>Sheet1!$F$50:$F$55</c:f>
              <c:numCache>
                <c:formatCode>General</c:formatCode>
                <c:ptCount val="6"/>
                <c:pt idx="0">
                  <c:v>2.0916700000000001</c:v>
                </c:pt>
                <c:pt idx="1">
                  <c:v>6.5502099999999999</c:v>
                </c:pt>
                <c:pt idx="2">
                  <c:v>32.815600000000003</c:v>
                </c:pt>
                <c:pt idx="3">
                  <c:v>186.316</c:v>
                </c:pt>
                <c:pt idx="4">
                  <c:v>798.02099999999996</c:v>
                </c:pt>
                <c:pt idx="5">
                  <c:v>3081.83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889E-4076-AA6D-4A081C8B84D7}"/>
            </c:ext>
          </c:extLst>
        </c:ser>
        <c:ser>
          <c:idx val="4"/>
          <c:order val="4"/>
          <c:tx>
            <c:v>MPI (8 processes)</c:v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squar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Sheet1!$D$26:$D$31</c:f>
              <c:numCache>
                <c:formatCode>General</c:formatCode>
                <c:ptCount val="6"/>
                <c:pt idx="0">
                  <c:v>500</c:v>
                </c:pt>
                <c:pt idx="1">
                  <c:v>1000</c:v>
                </c:pt>
                <c:pt idx="2">
                  <c:v>2000</c:v>
                </c:pt>
                <c:pt idx="3">
                  <c:v>5000</c:v>
                </c:pt>
                <c:pt idx="4">
                  <c:v>10000</c:v>
                </c:pt>
                <c:pt idx="5">
                  <c:v>20000</c:v>
                </c:pt>
              </c:numCache>
            </c:numRef>
          </c:xVal>
          <c:yVal>
            <c:numRef>
              <c:f>Sheet1!$F$56:$F$61</c:f>
              <c:numCache>
                <c:formatCode>General</c:formatCode>
                <c:ptCount val="6"/>
                <c:pt idx="0">
                  <c:v>0.64634800000000003</c:v>
                </c:pt>
                <c:pt idx="1">
                  <c:v>4.6375400000000004</c:v>
                </c:pt>
                <c:pt idx="2">
                  <c:v>17.599599999999999</c:v>
                </c:pt>
                <c:pt idx="3">
                  <c:v>90.617099999999994</c:v>
                </c:pt>
                <c:pt idx="4">
                  <c:v>486.46</c:v>
                </c:pt>
                <c:pt idx="5">
                  <c:v>1828.16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889E-4076-AA6D-4A081C8B84D7}"/>
            </c:ext>
          </c:extLst>
        </c:ser>
        <c:ser>
          <c:idx val="5"/>
          <c:order val="5"/>
          <c:tx>
            <c:v>MPI (16 processes)</c:v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squar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Sheet1!$D$32:$D$37</c:f>
              <c:numCache>
                <c:formatCode>General</c:formatCode>
                <c:ptCount val="6"/>
                <c:pt idx="0">
                  <c:v>500</c:v>
                </c:pt>
                <c:pt idx="1">
                  <c:v>1000</c:v>
                </c:pt>
                <c:pt idx="2">
                  <c:v>2000</c:v>
                </c:pt>
                <c:pt idx="3">
                  <c:v>5000</c:v>
                </c:pt>
                <c:pt idx="4">
                  <c:v>10000</c:v>
                </c:pt>
                <c:pt idx="5">
                  <c:v>20000</c:v>
                </c:pt>
              </c:numCache>
            </c:numRef>
          </c:xVal>
          <c:yVal>
            <c:numRef>
              <c:f>Sheet1!$F$62:$F$67</c:f>
              <c:numCache>
                <c:formatCode>General</c:formatCode>
                <c:ptCount val="6"/>
                <c:pt idx="0">
                  <c:v>0.55147400000000002</c:v>
                </c:pt>
                <c:pt idx="1">
                  <c:v>2.0613999999999999</c:v>
                </c:pt>
                <c:pt idx="2">
                  <c:v>8.0747400000000003</c:v>
                </c:pt>
                <c:pt idx="3">
                  <c:v>45.692300000000003</c:v>
                </c:pt>
                <c:pt idx="4">
                  <c:v>177.304</c:v>
                </c:pt>
                <c:pt idx="5">
                  <c:v>661.64599999999996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889E-4076-AA6D-4A081C8B84D7}"/>
            </c:ext>
          </c:extLst>
        </c:ser>
        <c:ser>
          <c:idx val="6"/>
          <c:order val="6"/>
          <c:tx>
            <c:v>MPI (32 processes)</c:v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Sheet1!$D$68:$D$73</c:f>
              <c:numCache>
                <c:formatCode>General</c:formatCode>
                <c:ptCount val="6"/>
                <c:pt idx="0">
                  <c:v>500</c:v>
                </c:pt>
                <c:pt idx="1">
                  <c:v>1000</c:v>
                </c:pt>
                <c:pt idx="2">
                  <c:v>2000</c:v>
                </c:pt>
                <c:pt idx="3">
                  <c:v>5000</c:v>
                </c:pt>
                <c:pt idx="4">
                  <c:v>10000</c:v>
                </c:pt>
                <c:pt idx="5">
                  <c:v>20000</c:v>
                </c:pt>
              </c:numCache>
            </c:numRef>
          </c:xVal>
          <c:yVal>
            <c:numRef>
              <c:f>Sheet1!$F$68:$F$73</c:f>
              <c:numCache>
                <c:formatCode>General</c:formatCode>
                <c:ptCount val="6"/>
                <c:pt idx="0">
                  <c:v>0.34568100000000002</c:v>
                </c:pt>
                <c:pt idx="1">
                  <c:v>1.34182</c:v>
                </c:pt>
                <c:pt idx="2">
                  <c:v>5.2668299999999997</c:v>
                </c:pt>
                <c:pt idx="3">
                  <c:v>31.087900000000001</c:v>
                </c:pt>
                <c:pt idx="4">
                  <c:v>122.249</c:v>
                </c:pt>
                <c:pt idx="5">
                  <c:v>437.13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889E-4076-AA6D-4A081C8B84D7}"/>
            </c:ext>
          </c:extLst>
        </c:ser>
        <c:ser>
          <c:idx val="7"/>
          <c:order val="7"/>
          <c:tx>
            <c:v>MPI (64 processes)</c:v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xVal>
            <c:numRef>
              <c:f>Sheet1!$D$74:$D$79</c:f>
              <c:numCache>
                <c:formatCode>General</c:formatCode>
                <c:ptCount val="6"/>
                <c:pt idx="0">
                  <c:v>500</c:v>
                </c:pt>
                <c:pt idx="1">
                  <c:v>1000</c:v>
                </c:pt>
                <c:pt idx="2">
                  <c:v>2000</c:v>
                </c:pt>
                <c:pt idx="3">
                  <c:v>5000</c:v>
                </c:pt>
                <c:pt idx="4">
                  <c:v>10000</c:v>
                </c:pt>
                <c:pt idx="5">
                  <c:v>20000</c:v>
                </c:pt>
              </c:numCache>
            </c:numRef>
          </c:xVal>
          <c:yVal>
            <c:numRef>
              <c:f>Sheet1!$F$74:$F$79</c:f>
              <c:numCache>
                <c:formatCode>General</c:formatCode>
                <c:ptCount val="6"/>
                <c:pt idx="0">
                  <c:v>0.239262</c:v>
                </c:pt>
                <c:pt idx="1">
                  <c:v>0.72462899999999997</c:v>
                </c:pt>
                <c:pt idx="2">
                  <c:v>3.3425500000000001</c:v>
                </c:pt>
                <c:pt idx="3">
                  <c:v>18.616</c:v>
                </c:pt>
                <c:pt idx="4">
                  <c:v>68.754999999999995</c:v>
                </c:pt>
                <c:pt idx="5">
                  <c:v>311.209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889E-4076-AA6D-4A081C8B84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1588159"/>
        <c:axId val="181589119"/>
      </c:scatterChart>
      <c:valAx>
        <c:axId val="181588159"/>
        <c:scaling>
          <c:logBase val="10"/>
          <c:orientation val="minMax"/>
          <c:max val="30000"/>
          <c:min val="3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Grid Width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0" spcFirstLastPara="1" vertOverflow="ellipsis" wrap="square" anchor="t" anchorCtr="0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1589119"/>
        <c:crosses val="autoZero"/>
        <c:crossBetween val="midCat"/>
      </c:valAx>
      <c:valAx>
        <c:axId val="181589119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Total Time (s)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158815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0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Speedup vs Processes for MPI nobuffer SIR Simulation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500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squar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(Sheet1!$B$8,Sheet1!$B$14,Sheet1!$B$20,Sheet1!$B$26,Sheet1!$B$32)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8</c:v>
                </c:pt>
                <c:pt idx="4">
                  <c:v>16</c:v>
                </c:pt>
              </c:numCache>
            </c:numRef>
          </c:xVal>
          <c:yVal>
            <c:numRef>
              <c:f>(Sheet1!$I$86,Sheet1!$I$92,Sheet1!$I$98,Sheet1!$I$104,Sheet1!$I$110,Sheet1!$I$116,Sheet1!$I$122)</c:f>
              <c:numCache>
                <c:formatCode>General</c:formatCode>
                <c:ptCount val="7"/>
                <c:pt idx="0">
                  <c:v>1</c:v>
                </c:pt>
                <c:pt idx="1">
                  <c:v>1.8671031122792399</c:v>
                </c:pt>
                <c:pt idx="2">
                  <c:v>3.2408084809270936</c:v>
                </c:pt>
                <c:pt idx="3">
                  <c:v>5.6776968249713695</c:v>
                </c:pt>
                <c:pt idx="4">
                  <c:v>7.8667287883238304</c:v>
                </c:pt>
                <c:pt idx="5">
                  <c:v>8.6871921825075784</c:v>
                </c:pt>
                <c:pt idx="6">
                  <c:v>10.991881347856648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AC4-45B6-B7FF-80BA78176A6D}"/>
            </c:ext>
          </c:extLst>
        </c:ser>
        <c:ser>
          <c:idx val="1"/>
          <c:order val="1"/>
          <c:tx>
            <c:v>1000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(Sheet1!$B$9,Sheet1!$B$15,Sheet1!$B$21,Sheet1!$B$27,Sheet1!$B$33)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8</c:v>
                </c:pt>
                <c:pt idx="4">
                  <c:v>16</c:v>
                </c:pt>
              </c:numCache>
            </c:numRef>
          </c:xVal>
          <c:yVal>
            <c:numRef>
              <c:f>(Sheet1!$I$87,Sheet1!$I$93,Sheet1!$I$99,Sheet1!$I$105,Sheet1!$I$111,Sheet1!$I$117,Sheet1!$I$123)</c:f>
              <c:numCache>
                <c:formatCode>General</c:formatCode>
                <c:ptCount val="7"/>
                <c:pt idx="0">
                  <c:v>1</c:v>
                </c:pt>
                <c:pt idx="1">
                  <c:v>1.8966559916265184</c:v>
                </c:pt>
                <c:pt idx="2">
                  <c:v>3.4006819428033022</c:v>
                </c:pt>
                <c:pt idx="3">
                  <c:v>6.0569823103799276</c:v>
                </c:pt>
                <c:pt idx="4">
                  <c:v>10.331437138744429</c:v>
                </c:pt>
                <c:pt idx="5">
                  <c:v>11.219025925798531</c:v>
                </c:pt>
                <c:pt idx="6">
                  <c:v>9.4826366493702547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AC4-45B6-B7FF-80BA78176A6D}"/>
            </c:ext>
          </c:extLst>
        </c:ser>
        <c:ser>
          <c:idx val="2"/>
          <c:order val="2"/>
          <c:tx>
            <c:v>2000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squar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(Sheet1!$B$10,Sheet1!$B$16,Sheet1!$B$22,Sheet1!$B$28,Sheet1!$B$34)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8</c:v>
                </c:pt>
                <c:pt idx="4">
                  <c:v>16</c:v>
                </c:pt>
              </c:numCache>
            </c:numRef>
          </c:xVal>
          <c:yVal>
            <c:numRef>
              <c:f>(Sheet1!$I$88,Sheet1!$I$94,Sheet1!$I$100,Sheet1!$I$106,Sheet1!$I$112,Sheet1!$I$118,Sheet1!$I$124)</c:f>
              <c:numCache>
                <c:formatCode>General</c:formatCode>
                <c:ptCount val="7"/>
                <c:pt idx="0">
                  <c:v>1</c:v>
                </c:pt>
                <c:pt idx="1">
                  <c:v>1.9763444773452878</c:v>
                </c:pt>
                <c:pt idx="2">
                  <c:v>3.4246402568365535</c:v>
                </c:pt>
                <c:pt idx="3">
                  <c:v>6.3474769728278488</c:v>
                </c:pt>
                <c:pt idx="4">
                  <c:v>10.736932921130204</c:v>
                </c:pt>
                <c:pt idx="5">
                  <c:v>8.4139161462979484</c:v>
                </c:pt>
                <c:pt idx="6">
                  <c:v>11.619679954353295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6AC4-45B6-B7FF-80BA78176A6D}"/>
            </c:ext>
          </c:extLst>
        </c:ser>
        <c:ser>
          <c:idx val="3"/>
          <c:order val="3"/>
          <c:tx>
            <c:v>5000</c:v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squar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(Sheet1!$B$11,Sheet1!$B$17,Sheet1!$B$23,Sheet1!$B$29,Sheet1!$B$35)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8</c:v>
                </c:pt>
                <c:pt idx="4">
                  <c:v>16</c:v>
                </c:pt>
              </c:numCache>
            </c:numRef>
          </c:xVal>
          <c:yVal>
            <c:numRef>
              <c:f>(Sheet1!$I$89,Sheet1!$I$95,Sheet1!$I$101,Sheet1!$I$107,Sheet1!$I$113,Sheet1!$I$119,Sheet1!$I$125)</c:f>
              <c:numCache>
                <c:formatCode>General</c:formatCode>
                <c:ptCount val="7"/>
                <c:pt idx="0">
                  <c:v>1</c:v>
                </c:pt>
                <c:pt idx="1">
                  <c:v>1.9019400058408777</c:v>
                </c:pt>
                <c:pt idx="2">
                  <c:v>3.4202072189002846</c:v>
                </c:pt>
                <c:pt idx="3">
                  <c:v>6.1566094864585272</c:v>
                </c:pt>
                <c:pt idx="4">
                  <c:v>10.231942218690941</c:v>
                </c:pt>
                <c:pt idx="5">
                  <c:v>9.513153007266185</c:v>
                </c:pt>
                <c:pt idx="6">
                  <c:v>14.753650579950289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6AC4-45B6-B7FF-80BA78176A6D}"/>
            </c:ext>
          </c:extLst>
        </c:ser>
        <c:ser>
          <c:idx val="4"/>
          <c:order val="4"/>
          <c:tx>
            <c:v>10000</c:v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squar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(Sheet1!$B$12,Sheet1!$B$18,Sheet1!$B$24,Sheet1!$B$30,Sheet1!$B$36)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8</c:v>
                </c:pt>
                <c:pt idx="4">
                  <c:v>16</c:v>
                </c:pt>
              </c:numCache>
            </c:numRef>
          </c:xVal>
          <c:yVal>
            <c:numRef>
              <c:f>(Sheet1!$I$90,Sheet1!$I$96,Sheet1!$I$102,Sheet1!$I$108,Sheet1!$I$114,Sheet1!$I$120,Sheet1!$I$126)</c:f>
              <c:numCache>
                <c:formatCode>General</c:formatCode>
                <c:ptCount val="7"/>
                <c:pt idx="0">
                  <c:v>1</c:v>
                </c:pt>
                <c:pt idx="1">
                  <c:v>1.9165375592513936</c:v>
                </c:pt>
                <c:pt idx="2">
                  <c:v>3.4376527657654266</c:v>
                </c:pt>
                <c:pt idx="3">
                  <c:v>6.017793196060877</c:v>
                </c:pt>
                <c:pt idx="4">
                  <c:v>10.805033661756084</c:v>
                </c:pt>
                <c:pt idx="5">
                  <c:v>10.449338411455951</c:v>
                </c:pt>
                <c:pt idx="6">
                  <c:v>14.558178569494828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6AC4-45B6-B7FF-80BA78176A6D}"/>
            </c:ext>
          </c:extLst>
        </c:ser>
        <c:ser>
          <c:idx val="5"/>
          <c:order val="5"/>
          <c:tx>
            <c:v>20000</c:v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squar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(Sheet1!$B$13,Sheet1!$B$19,Sheet1!$B$25,Sheet1!$B$31,Sheet1!$B$37)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8</c:v>
                </c:pt>
                <c:pt idx="4">
                  <c:v>16</c:v>
                </c:pt>
              </c:numCache>
            </c:numRef>
          </c:xVal>
          <c:yVal>
            <c:numRef>
              <c:f>(Sheet1!$I$91,Sheet1!$I$97,Sheet1!$I$103,Sheet1!$I$109,Sheet1!$I$115,Sheet1!$I$121,Sheet1!$I$127)</c:f>
              <c:numCache>
                <c:formatCode>General</c:formatCode>
                <c:ptCount val="7"/>
                <c:pt idx="0">
                  <c:v>1</c:v>
                </c:pt>
                <c:pt idx="1">
                  <c:v>1.947556877074325</c:v>
                </c:pt>
                <c:pt idx="2">
                  <c:v>3.4853245646084519</c:v>
                </c:pt>
                <c:pt idx="3">
                  <c:v>6.2768831037362602</c:v>
                </c:pt>
                <c:pt idx="4">
                  <c:v>10.96074526256246</c:v>
                </c:pt>
                <c:pt idx="5">
                  <c:v>9.8289859896910752</c:v>
                </c:pt>
                <c:pt idx="6">
                  <c:v>15.974460374506748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6AC4-45B6-B7FF-80BA78176A6D}"/>
            </c:ext>
          </c:extLst>
        </c:ser>
        <c:ser>
          <c:idx val="6"/>
          <c:order val="6"/>
          <c:tx>
            <c:v>Ideal</c:v>
          </c:tx>
          <c:spPr>
            <a:ln w="19050" cap="rnd">
              <a:solidFill>
                <a:schemeClr val="tx1"/>
              </a:solidFill>
              <a:prstDash val="dash"/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(Sheet1!$B$8,Sheet1!$B$14,Sheet1!$B$20,Sheet1!$B$26,Sheet1!$B$32)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8</c:v>
                </c:pt>
                <c:pt idx="4">
                  <c:v>16</c:v>
                </c:pt>
              </c:numCache>
            </c:numRef>
          </c:xVal>
          <c:yVal>
            <c:numLit>
              <c:formatCode>General</c:formatCode>
              <c:ptCount val="5"/>
              <c:pt idx="0">
                <c:v>1</c:v>
              </c:pt>
              <c:pt idx="1">
                <c:v>2</c:v>
              </c:pt>
              <c:pt idx="2">
                <c:v>4</c:v>
              </c:pt>
              <c:pt idx="3">
                <c:v>8</c:v>
              </c:pt>
              <c:pt idx="4">
                <c:v>16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6-6AC4-45B6-B7FF-80BA78176A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5974671"/>
        <c:axId val="135975151"/>
      </c:scatterChart>
      <c:valAx>
        <c:axId val="135974671"/>
        <c:scaling>
          <c:orientation val="minMax"/>
          <c:max val="16"/>
          <c:min val="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Processes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5975151"/>
        <c:crosses val="autoZero"/>
        <c:crossBetween val="midCat"/>
      </c:valAx>
      <c:valAx>
        <c:axId val="1359751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Speedup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597467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Speedup vs Processes for hyrbid SIR Simulation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500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squar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(Sheet1!$B$8,Sheet1!$B$14,Sheet1!$B$20,Sheet1!$B$26,Sheet1!$B$32)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8</c:v>
                </c:pt>
                <c:pt idx="4">
                  <c:v>16</c:v>
                </c:pt>
              </c:numCache>
            </c:numRef>
          </c:xVal>
          <c:yVal>
            <c:numRef>
              <c:f>(Sheet1!$I$128,Sheet1!$I$134,Sheet1!$I$140,Sheet1!$I$146,Sheet1!$I$152,Sheet1!$I$158,Sheet1!$I$164)</c:f>
              <c:numCache>
                <c:formatCode>General</c:formatCode>
                <c:ptCount val="7"/>
                <c:pt idx="0">
                  <c:v>1</c:v>
                </c:pt>
                <c:pt idx="1">
                  <c:v>1.7231919684356216</c:v>
                </c:pt>
                <c:pt idx="2">
                  <c:v>6.0509358550603395E-2</c:v>
                </c:pt>
                <c:pt idx="3">
                  <c:v>2.7842969275871855E-2</c:v>
                </c:pt>
                <c:pt idx="4">
                  <c:v>2.3404629413140053E-2</c:v>
                </c:pt>
                <c:pt idx="5">
                  <c:v>2.1881087697822856E-2</c:v>
                </c:pt>
                <c:pt idx="6">
                  <c:v>2.2114862894460106E-2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560-40A7-A69A-C5DA5BA40DAF}"/>
            </c:ext>
          </c:extLst>
        </c:ser>
        <c:ser>
          <c:idx val="1"/>
          <c:order val="1"/>
          <c:tx>
            <c:v>1000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(Sheet1!$B$9,Sheet1!$B$15,Sheet1!$B$21,Sheet1!$B$27,Sheet1!$B$33)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8</c:v>
                </c:pt>
                <c:pt idx="4">
                  <c:v>16</c:v>
                </c:pt>
              </c:numCache>
            </c:numRef>
          </c:xVal>
          <c:yVal>
            <c:numRef>
              <c:f>(Sheet1!$I$128,Sheet1!$I$135,Sheet1!$I$141,Sheet1!$I$147,Sheet1!$I$153,Sheet1!$I$159,Sheet1!$I$165)</c:f>
              <c:numCache>
                <c:formatCode>General</c:formatCode>
                <c:ptCount val="7"/>
                <c:pt idx="0">
                  <c:v>1</c:v>
                </c:pt>
                <c:pt idx="1">
                  <c:v>1.825007662287244</c:v>
                </c:pt>
                <c:pt idx="2">
                  <c:v>0.21474679085691753</c:v>
                </c:pt>
                <c:pt idx="3">
                  <c:v>9.9719768177946089E-2</c:v>
                </c:pt>
                <c:pt idx="4">
                  <c:v>8.2896534442113867E-2</c:v>
                </c:pt>
                <c:pt idx="5">
                  <c:v>7.953773954548693E-2</c:v>
                </c:pt>
                <c:pt idx="6">
                  <c:v>7.5735326538572428E-2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560-40A7-A69A-C5DA5BA40DAF}"/>
            </c:ext>
          </c:extLst>
        </c:ser>
        <c:ser>
          <c:idx val="2"/>
          <c:order val="2"/>
          <c:tx>
            <c:v>2000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squar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(Sheet1!$B$10,Sheet1!$B$16,Sheet1!$B$22,Sheet1!$B$28,Sheet1!$B$34)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8</c:v>
                </c:pt>
                <c:pt idx="4">
                  <c:v>16</c:v>
                </c:pt>
              </c:numCache>
            </c:numRef>
          </c:xVal>
          <c:yVal>
            <c:numRef>
              <c:f>(Sheet1!$I$130,Sheet1!$I$136,Sheet1!$I$142,Sheet1!$I$148,Sheet1!$I$154,Sheet1!$I$160,Sheet1!$I$166)</c:f>
              <c:numCache>
                <c:formatCode>General</c:formatCode>
                <c:ptCount val="7"/>
                <c:pt idx="0">
                  <c:v>1</c:v>
                </c:pt>
                <c:pt idx="1">
                  <c:v>1.8850229591428589</c:v>
                </c:pt>
                <c:pt idx="2">
                  <c:v>0.83076160100033136</c:v>
                </c:pt>
                <c:pt idx="3">
                  <c:v>0.38743710881408328</c:v>
                </c:pt>
                <c:pt idx="4">
                  <c:v>0.32596325875647864</c:v>
                </c:pt>
                <c:pt idx="5">
                  <c:v>0.30978465691473045</c:v>
                </c:pt>
                <c:pt idx="6">
                  <c:v>0.29927436835331572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E560-40A7-A69A-C5DA5BA40DAF}"/>
            </c:ext>
          </c:extLst>
        </c:ser>
        <c:ser>
          <c:idx val="3"/>
          <c:order val="3"/>
          <c:tx>
            <c:v>5000</c:v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squar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(Sheet1!$B$11,Sheet1!$B$17,Sheet1!$B$23,Sheet1!$B$29,Sheet1!$B$35)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8</c:v>
                </c:pt>
                <c:pt idx="4">
                  <c:v>16</c:v>
                </c:pt>
              </c:numCache>
            </c:numRef>
          </c:xVal>
          <c:yVal>
            <c:numRef>
              <c:f>(Sheet1!$I$131,Sheet1!$I$137,Sheet1!$I$143,Sheet1!$I$149,Sheet1!$I$155,Sheet1!$I$161,Sheet1!$I$167)</c:f>
              <c:numCache>
                <c:formatCode>General</c:formatCode>
                <c:ptCount val="7"/>
                <c:pt idx="0">
                  <c:v>1</c:v>
                </c:pt>
                <c:pt idx="1">
                  <c:v>1.8628547107884463</c:v>
                </c:pt>
                <c:pt idx="2">
                  <c:v>4.5514957474337621</c:v>
                </c:pt>
                <c:pt idx="3">
                  <c:v>2.4166149043591827</c:v>
                </c:pt>
                <c:pt idx="4">
                  <c:v>2.0661613181426173</c:v>
                </c:pt>
                <c:pt idx="5">
                  <c:v>1.8856347503334689</c:v>
                </c:pt>
                <c:pt idx="6">
                  <c:v>1.7221789235530467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E560-40A7-A69A-C5DA5BA40DAF}"/>
            </c:ext>
          </c:extLst>
        </c:ser>
        <c:ser>
          <c:idx val="4"/>
          <c:order val="4"/>
          <c:tx>
            <c:v>10000</c:v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squar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(Sheet1!$B$12,Sheet1!$B$18,Sheet1!$B$24,Sheet1!$B$30,Sheet1!$B$36)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8</c:v>
                </c:pt>
                <c:pt idx="4">
                  <c:v>16</c:v>
                </c:pt>
              </c:numCache>
            </c:numRef>
          </c:xVal>
          <c:yVal>
            <c:numRef>
              <c:f>(Sheet1!$I$132,Sheet1!$I$138,Sheet1!$I$144,Sheet1!$I$150,Sheet1!$I$156,Sheet1!$I$162,Sheet1!$I$168)</c:f>
              <c:numCache>
                <c:formatCode>General</c:formatCode>
                <c:ptCount val="7"/>
                <c:pt idx="0">
                  <c:v>1</c:v>
                </c:pt>
                <c:pt idx="1">
                  <c:v>1.9030750823870195</c:v>
                </c:pt>
                <c:pt idx="2">
                  <c:v>7.9182882096069873</c:v>
                </c:pt>
                <c:pt idx="3">
                  <c:v>5.8898229111177516</c:v>
                </c:pt>
                <c:pt idx="4">
                  <c:v>5.1546666060220137</c:v>
                </c:pt>
                <c:pt idx="5">
                  <c:v>6.1182424909067592</c:v>
                </c:pt>
                <c:pt idx="6">
                  <c:v>6.8108294896257462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E560-40A7-A69A-C5DA5BA40DAF}"/>
            </c:ext>
          </c:extLst>
        </c:ser>
        <c:ser>
          <c:idx val="5"/>
          <c:order val="5"/>
          <c:tx>
            <c:v>20000</c:v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squar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(Sheet1!$B$13,Sheet1!$B$19,Sheet1!$B$25,Sheet1!$B$31,Sheet1!$B$37)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8</c:v>
                </c:pt>
                <c:pt idx="4">
                  <c:v>16</c:v>
                </c:pt>
              </c:numCache>
            </c:numRef>
          </c:xVal>
          <c:yVal>
            <c:numRef>
              <c:f>(Sheet1!$I$91,Sheet1!$I$97,Sheet1!$I$103,Sheet1!$I$109,Sheet1!$I$115,Sheet1!$I$121,Sheet1!$I$127)</c:f>
              <c:numCache>
                <c:formatCode>General</c:formatCode>
                <c:ptCount val="7"/>
                <c:pt idx="0">
                  <c:v>1</c:v>
                </c:pt>
                <c:pt idx="1">
                  <c:v>1.947556877074325</c:v>
                </c:pt>
                <c:pt idx="2">
                  <c:v>3.4853245646084519</c:v>
                </c:pt>
                <c:pt idx="3">
                  <c:v>6.2768831037362602</c:v>
                </c:pt>
                <c:pt idx="4">
                  <c:v>10.96074526256246</c:v>
                </c:pt>
                <c:pt idx="5">
                  <c:v>9.8289859896910752</c:v>
                </c:pt>
                <c:pt idx="6">
                  <c:v>15.974460374506748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E560-40A7-A69A-C5DA5BA40DAF}"/>
            </c:ext>
          </c:extLst>
        </c:ser>
        <c:ser>
          <c:idx val="6"/>
          <c:order val="6"/>
          <c:tx>
            <c:v>Ideal</c:v>
          </c:tx>
          <c:spPr>
            <a:ln w="19050" cap="rnd">
              <a:solidFill>
                <a:schemeClr val="tx1"/>
              </a:solidFill>
              <a:prstDash val="dash"/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(Sheet1!$B$8,Sheet1!$B$14,Sheet1!$B$20,Sheet1!$B$26,Sheet1!$B$32)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8</c:v>
                </c:pt>
                <c:pt idx="4">
                  <c:v>16</c:v>
                </c:pt>
              </c:numCache>
            </c:numRef>
          </c:xVal>
          <c:yVal>
            <c:numLit>
              <c:formatCode>General</c:formatCode>
              <c:ptCount val="5"/>
              <c:pt idx="0">
                <c:v>1</c:v>
              </c:pt>
              <c:pt idx="1">
                <c:v>2</c:v>
              </c:pt>
              <c:pt idx="2">
                <c:v>4</c:v>
              </c:pt>
              <c:pt idx="3">
                <c:v>8</c:v>
              </c:pt>
              <c:pt idx="4">
                <c:v>16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6-E560-40A7-A69A-C5DA5BA40DA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5974671"/>
        <c:axId val="135975151"/>
      </c:scatterChart>
      <c:valAx>
        <c:axId val="135974671"/>
        <c:scaling>
          <c:orientation val="minMax"/>
          <c:max val="16"/>
          <c:min val="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Processes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5975151"/>
        <c:crosses val="autoZero"/>
        <c:crossBetween val="midCat"/>
      </c:valAx>
      <c:valAx>
        <c:axId val="1359751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Speedup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597467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Efficiency vs Processes for MPI nobuffer SIR Simulation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0064858378286641"/>
          <c:y val="0.1405550098728868"/>
          <c:w val="0.72569272416213459"/>
          <c:h val="0.68261865940334587"/>
        </c:manualLayout>
      </c:layout>
      <c:scatterChart>
        <c:scatterStyle val="lineMarker"/>
        <c:varyColors val="0"/>
        <c:ser>
          <c:idx val="0"/>
          <c:order val="0"/>
          <c:tx>
            <c:v>500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squar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(Sheet1!$B$8,Sheet1!$B$14,Sheet1!$B$20,Sheet1!$B$26,Sheet1!$B$32)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8</c:v>
                </c:pt>
                <c:pt idx="4">
                  <c:v>16</c:v>
                </c:pt>
              </c:numCache>
            </c:numRef>
          </c:xVal>
          <c:yVal>
            <c:numRef>
              <c:f>(Sheet1!$J$86,Sheet1!$J$92,Sheet1!$J$98,Sheet1!$J$104,Sheet1!$J$110,Sheet1!$J$116,Sheet1!$J$122)</c:f>
              <c:numCache>
                <c:formatCode>General</c:formatCode>
                <c:ptCount val="7"/>
                <c:pt idx="0">
                  <c:v>1</c:v>
                </c:pt>
                <c:pt idx="1">
                  <c:v>0.93355155613961993</c:v>
                </c:pt>
                <c:pt idx="2">
                  <c:v>0.8102021202317734</c:v>
                </c:pt>
                <c:pt idx="3">
                  <c:v>0.70971210312142119</c:v>
                </c:pt>
                <c:pt idx="4">
                  <c:v>0.4916705492702394</c:v>
                </c:pt>
                <c:pt idx="5">
                  <c:v>0.27147475570336183</c:v>
                </c:pt>
                <c:pt idx="6">
                  <c:v>0.17174814606026012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4C4-4A90-AC34-A10618DAE50F}"/>
            </c:ext>
          </c:extLst>
        </c:ser>
        <c:ser>
          <c:idx val="1"/>
          <c:order val="1"/>
          <c:tx>
            <c:v>1000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(Sheet1!$B$9,Sheet1!$B$15,Sheet1!$B$21,Sheet1!$B$27,Sheet1!$B$33)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8</c:v>
                </c:pt>
                <c:pt idx="4">
                  <c:v>16</c:v>
                </c:pt>
              </c:numCache>
            </c:numRef>
          </c:xVal>
          <c:yVal>
            <c:numRef>
              <c:f>(Sheet1!$J$87,Sheet1!$J$93,Sheet1!$J$99,Sheet1!$J$105,Sheet1!$J$111,Sheet1!$J$117,Sheet1!$J$123)</c:f>
              <c:numCache>
                <c:formatCode>General</c:formatCode>
                <c:ptCount val="7"/>
                <c:pt idx="0">
                  <c:v>1</c:v>
                </c:pt>
                <c:pt idx="1">
                  <c:v>0.94832799581325922</c:v>
                </c:pt>
                <c:pt idx="2">
                  <c:v>0.85017048570082554</c:v>
                </c:pt>
                <c:pt idx="3">
                  <c:v>0.75712278879749095</c:v>
                </c:pt>
                <c:pt idx="4">
                  <c:v>0.64571482117152679</c:v>
                </c:pt>
                <c:pt idx="5">
                  <c:v>0.35059456018120411</c:v>
                </c:pt>
                <c:pt idx="6">
                  <c:v>0.14816619764641023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4C4-4A90-AC34-A10618DAE50F}"/>
            </c:ext>
          </c:extLst>
        </c:ser>
        <c:ser>
          <c:idx val="2"/>
          <c:order val="2"/>
          <c:tx>
            <c:v>2000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squar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(Sheet1!$B$10,Sheet1!$B$16,Sheet1!$B$22,Sheet1!$B$28,Sheet1!$B$34)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8</c:v>
                </c:pt>
                <c:pt idx="4">
                  <c:v>16</c:v>
                </c:pt>
              </c:numCache>
            </c:numRef>
          </c:xVal>
          <c:yVal>
            <c:numRef>
              <c:f>(Sheet1!$J$88,Sheet1!$J$94,Sheet1!$J$100,Sheet1!$J$106,Sheet1!$J$112,Sheet1!$J$118,Sheet1!$J$124)</c:f>
              <c:numCache>
                <c:formatCode>General</c:formatCode>
                <c:ptCount val="7"/>
                <c:pt idx="0">
                  <c:v>1</c:v>
                </c:pt>
                <c:pt idx="1">
                  <c:v>0.98817223867264392</c:v>
                </c:pt>
                <c:pt idx="2">
                  <c:v>0.85616006420913837</c:v>
                </c:pt>
                <c:pt idx="3">
                  <c:v>0.79343462160348111</c:v>
                </c:pt>
                <c:pt idx="4">
                  <c:v>0.67105830757063778</c:v>
                </c:pt>
                <c:pt idx="5">
                  <c:v>0.26293487957181089</c:v>
                </c:pt>
                <c:pt idx="6">
                  <c:v>0.18155749928677023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24C4-4A90-AC34-A10618DAE50F}"/>
            </c:ext>
          </c:extLst>
        </c:ser>
        <c:ser>
          <c:idx val="3"/>
          <c:order val="3"/>
          <c:tx>
            <c:v>5000</c:v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squar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(Sheet1!$B$11,Sheet1!$B$17,Sheet1!$B$23,Sheet1!$B$29,Sheet1!$B$35)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8</c:v>
                </c:pt>
                <c:pt idx="4">
                  <c:v>16</c:v>
                </c:pt>
              </c:numCache>
            </c:numRef>
          </c:xVal>
          <c:yVal>
            <c:numRef>
              <c:f>(Sheet1!$J$89,Sheet1!$J$95,Sheet1!$J$101,Sheet1!$J$107,Sheet1!$J$113,Sheet1!$J$119,Sheet1!$J$125)</c:f>
              <c:numCache>
                <c:formatCode>General</c:formatCode>
                <c:ptCount val="7"/>
                <c:pt idx="0">
                  <c:v>1</c:v>
                </c:pt>
                <c:pt idx="1">
                  <c:v>0.95097000292043887</c:v>
                </c:pt>
                <c:pt idx="2">
                  <c:v>0.85505180472507114</c:v>
                </c:pt>
                <c:pt idx="3">
                  <c:v>0.7695761858073159</c:v>
                </c:pt>
                <c:pt idx="4">
                  <c:v>0.63949638866818381</c:v>
                </c:pt>
                <c:pt idx="5">
                  <c:v>0.29728603147706828</c:v>
                </c:pt>
                <c:pt idx="6">
                  <c:v>0.23052579031172327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24C4-4A90-AC34-A10618DAE50F}"/>
            </c:ext>
          </c:extLst>
        </c:ser>
        <c:ser>
          <c:idx val="4"/>
          <c:order val="4"/>
          <c:tx>
            <c:v>10000</c:v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squar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(Sheet1!$B$12,Sheet1!$B$18,Sheet1!$B$24,Sheet1!$B$30,Sheet1!$B$36)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8</c:v>
                </c:pt>
                <c:pt idx="4">
                  <c:v>16</c:v>
                </c:pt>
              </c:numCache>
            </c:numRef>
          </c:xVal>
          <c:yVal>
            <c:numRef>
              <c:f>(Sheet1!$J$90,Sheet1!$J$96,Sheet1!$J$102,Sheet1!$J$108,Sheet1!$J$114,Sheet1!$J$120,Sheet1!$J$126)</c:f>
              <c:numCache>
                <c:formatCode>General</c:formatCode>
                <c:ptCount val="7"/>
                <c:pt idx="0">
                  <c:v>1</c:v>
                </c:pt>
                <c:pt idx="1">
                  <c:v>0.95826877962569679</c:v>
                </c:pt>
                <c:pt idx="2">
                  <c:v>0.85941319144135664</c:v>
                </c:pt>
                <c:pt idx="3">
                  <c:v>0.75222414950760963</c:v>
                </c:pt>
                <c:pt idx="4">
                  <c:v>0.67531460385975528</c:v>
                </c:pt>
                <c:pt idx="5">
                  <c:v>0.32654182535799847</c:v>
                </c:pt>
                <c:pt idx="6">
                  <c:v>0.22747154014835669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24C4-4A90-AC34-A10618DAE50F}"/>
            </c:ext>
          </c:extLst>
        </c:ser>
        <c:ser>
          <c:idx val="5"/>
          <c:order val="5"/>
          <c:tx>
            <c:v>20000</c:v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squar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(Sheet1!$B$13,Sheet1!$B$19,Sheet1!$B$25,Sheet1!$B$31,Sheet1!$B$37)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8</c:v>
                </c:pt>
                <c:pt idx="4">
                  <c:v>16</c:v>
                </c:pt>
              </c:numCache>
            </c:numRef>
          </c:xVal>
          <c:yVal>
            <c:numRef>
              <c:f>(Sheet1!$J$91,Sheet1!$J$97,Sheet1!$J$103,Sheet1!$J$109,Sheet1!$J$115,Sheet1!$J$121,Sheet1!$J$127)</c:f>
              <c:numCache>
                <c:formatCode>General</c:formatCode>
                <c:ptCount val="7"/>
                <c:pt idx="0">
                  <c:v>1</c:v>
                </c:pt>
                <c:pt idx="1">
                  <c:v>0.97377843853716251</c:v>
                </c:pt>
                <c:pt idx="2">
                  <c:v>0.87133114115211296</c:v>
                </c:pt>
                <c:pt idx="3">
                  <c:v>0.78461038796703253</c:v>
                </c:pt>
                <c:pt idx="4">
                  <c:v>0.68504657891015375</c:v>
                </c:pt>
                <c:pt idx="5">
                  <c:v>0.3071558121778461</c:v>
                </c:pt>
                <c:pt idx="6">
                  <c:v>0.24960094335166794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24C4-4A90-AC34-A10618DAE50F}"/>
            </c:ext>
          </c:extLst>
        </c:ser>
        <c:ser>
          <c:idx val="6"/>
          <c:order val="6"/>
          <c:tx>
            <c:v>Ideal</c:v>
          </c:tx>
          <c:spPr>
            <a:ln w="19050" cap="rnd">
              <a:solidFill>
                <a:schemeClr val="tx1"/>
              </a:solidFill>
              <a:prstDash val="dash"/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(Sheet1!$B$8,Sheet1!$B$14,Sheet1!$B$20,Sheet1!$B$26,Sheet1!$B$32)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8</c:v>
                </c:pt>
                <c:pt idx="4">
                  <c:v>16</c:v>
                </c:pt>
              </c:numCache>
            </c:numRef>
          </c:xVal>
          <c:yVal>
            <c:numLit>
              <c:formatCode>General</c:formatCode>
              <c:ptCount val="5"/>
              <c:pt idx="0">
                <c:v>1</c:v>
              </c:pt>
              <c:pt idx="1">
                <c:v>1</c:v>
              </c:pt>
              <c:pt idx="2">
                <c:v>1</c:v>
              </c:pt>
              <c:pt idx="3">
                <c:v>1</c:v>
              </c:pt>
              <c:pt idx="4">
                <c:v>1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6-24C4-4A90-AC34-A10618DAE50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40864383"/>
        <c:axId val="340867743"/>
      </c:scatterChart>
      <c:valAx>
        <c:axId val="340864383"/>
        <c:scaling>
          <c:orientation val="minMax"/>
          <c:max val="16"/>
          <c:min val="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Threads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0867743"/>
        <c:crossesAt val="0.60000000000000009"/>
        <c:crossBetween val="midCat"/>
      </c:valAx>
      <c:valAx>
        <c:axId val="3408677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Efficiency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0864383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Efficiency vs Processes for MPI SIR Simulation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0064858378286641"/>
          <c:y val="0.1405550098728868"/>
          <c:w val="0.72569272416213459"/>
          <c:h val="0.68261865940334587"/>
        </c:manualLayout>
      </c:layout>
      <c:scatterChart>
        <c:scatterStyle val="lineMarker"/>
        <c:varyColors val="0"/>
        <c:ser>
          <c:idx val="0"/>
          <c:order val="0"/>
          <c:tx>
            <c:v>500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squar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(Sheet1!$B$8,Sheet1!$B$14,Sheet1!$B$20,Sheet1!$B$26,Sheet1!$B$32)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8</c:v>
                </c:pt>
                <c:pt idx="4">
                  <c:v>16</c:v>
                </c:pt>
              </c:numCache>
            </c:numRef>
          </c:xVal>
          <c:yVal>
            <c:numRef>
              <c:f>(Sheet1!$J$128,Sheet1!$J$134,Sheet1!$J$140,Sheet1!$J$146,Sheet1!$J$152,Sheet1!$J$158,Sheet1!$J$164)</c:f>
              <c:numCache>
                <c:formatCode>General</c:formatCode>
                <c:ptCount val="7"/>
                <c:pt idx="0">
                  <c:v>1</c:v>
                </c:pt>
                <c:pt idx="1">
                  <c:v>0.86159598421781081</c:v>
                </c:pt>
                <c:pt idx="2">
                  <c:v>1.5127339637650849E-2</c:v>
                </c:pt>
                <c:pt idx="3">
                  <c:v>3.4803711594839819E-3</c:v>
                </c:pt>
                <c:pt idx="4">
                  <c:v>1.4627893383212533E-3</c:v>
                </c:pt>
                <c:pt idx="5">
                  <c:v>6.8378399055696423E-4</c:v>
                </c:pt>
                <c:pt idx="6">
                  <c:v>3.4554473272593915E-4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BED-47B5-97EA-3941FEDDDFBB}"/>
            </c:ext>
          </c:extLst>
        </c:ser>
        <c:ser>
          <c:idx val="1"/>
          <c:order val="1"/>
          <c:tx>
            <c:v>1000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(Sheet1!$B$9,Sheet1!$B$15,Sheet1!$B$21,Sheet1!$B$27,Sheet1!$B$33)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8</c:v>
                </c:pt>
                <c:pt idx="4">
                  <c:v>16</c:v>
                </c:pt>
              </c:numCache>
            </c:numRef>
          </c:xVal>
          <c:yVal>
            <c:numRef>
              <c:f>(Sheet1!$J$129,Sheet1!$J$135,Sheet1!$J$141,Sheet1!$J$148,Sheet1!$J$153,Sheet1!$J$159,Sheet1!$J$165)</c:f>
              <c:numCache>
                <c:formatCode>General</c:formatCode>
                <c:ptCount val="7"/>
                <c:pt idx="0">
                  <c:v>1</c:v>
                </c:pt>
                <c:pt idx="1">
                  <c:v>0.91250383114362199</c:v>
                </c:pt>
                <c:pt idx="2">
                  <c:v>5.3686697714229382E-2</c:v>
                </c:pt>
                <c:pt idx="3">
                  <c:v>4.8429638601760409E-2</c:v>
                </c:pt>
                <c:pt idx="4">
                  <c:v>5.1810334026321167E-3</c:v>
                </c:pt>
                <c:pt idx="5">
                  <c:v>2.4855543607964665E-3</c:v>
                </c:pt>
                <c:pt idx="6">
                  <c:v>1.1833644771651942E-3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BED-47B5-97EA-3941FEDDDFBB}"/>
            </c:ext>
          </c:extLst>
        </c:ser>
        <c:ser>
          <c:idx val="2"/>
          <c:order val="2"/>
          <c:tx>
            <c:v>2000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squar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(Sheet1!$B$10,Sheet1!$B$16,Sheet1!$B$22,Sheet1!$B$28,Sheet1!$B$34)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8</c:v>
                </c:pt>
                <c:pt idx="4">
                  <c:v>16</c:v>
                </c:pt>
              </c:numCache>
            </c:numRef>
          </c:xVal>
          <c:yVal>
            <c:numRef>
              <c:f>(Sheet1!$J$130,Sheet1!$J$136,Sheet1!$J$142,Sheet1!$J$148,Sheet1!$J$154,Sheet1!$J$160,Sheet1!$J$166)</c:f>
              <c:numCache>
                <c:formatCode>General</c:formatCode>
                <c:ptCount val="7"/>
                <c:pt idx="0">
                  <c:v>1</c:v>
                </c:pt>
                <c:pt idx="1">
                  <c:v>0.94251147957142944</c:v>
                </c:pt>
                <c:pt idx="2">
                  <c:v>0.20769040025008284</c:v>
                </c:pt>
                <c:pt idx="3">
                  <c:v>4.8429638601760409E-2</c:v>
                </c:pt>
                <c:pt idx="4">
                  <c:v>2.0372703672279915E-2</c:v>
                </c:pt>
                <c:pt idx="5">
                  <c:v>9.6807705285853266E-3</c:v>
                </c:pt>
                <c:pt idx="6">
                  <c:v>4.6761620055205582E-3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ABED-47B5-97EA-3941FEDDDFBB}"/>
            </c:ext>
          </c:extLst>
        </c:ser>
        <c:ser>
          <c:idx val="3"/>
          <c:order val="3"/>
          <c:tx>
            <c:v>5000</c:v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squar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(Sheet1!$B$11,Sheet1!$B$17,Sheet1!$B$23,Sheet1!$B$29,Sheet1!$B$35)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8</c:v>
                </c:pt>
                <c:pt idx="4">
                  <c:v>16</c:v>
                </c:pt>
              </c:numCache>
            </c:numRef>
          </c:xVal>
          <c:yVal>
            <c:numRef>
              <c:f>(Sheet1!$J$131,Sheet1!$J$137,Sheet1!$J$143,Sheet1!$J$149,Sheet1!$J$155,Sheet1!$J$161,Sheet1!$J$167)</c:f>
              <c:numCache>
                <c:formatCode>General</c:formatCode>
                <c:ptCount val="7"/>
                <c:pt idx="0">
                  <c:v>1</c:v>
                </c:pt>
                <c:pt idx="1">
                  <c:v>0.93142735539422317</c:v>
                </c:pt>
                <c:pt idx="2">
                  <c:v>1.1378739368584405</c:v>
                </c:pt>
                <c:pt idx="3">
                  <c:v>0.30207686304489784</c:v>
                </c:pt>
                <c:pt idx="4">
                  <c:v>0.12913508238391358</c:v>
                </c:pt>
                <c:pt idx="5">
                  <c:v>5.8926085947920905E-2</c:v>
                </c:pt>
                <c:pt idx="6">
                  <c:v>2.6909045680516355E-2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ABED-47B5-97EA-3941FEDDDFBB}"/>
            </c:ext>
          </c:extLst>
        </c:ser>
        <c:ser>
          <c:idx val="4"/>
          <c:order val="4"/>
          <c:tx>
            <c:v>10000</c:v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squar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(Sheet1!$B$12,Sheet1!$B$18,Sheet1!$B$24,Sheet1!$B$30,Sheet1!$B$36)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8</c:v>
                </c:pt>
                <c:pt idx="4">
                  <c:v>16</c:v>
                </c:pt>
              </c:numCache>
            </c:numRef>
          </c:xVal>
          <c:yVal>
            <c:numRef>
              <c:f>(Sheet1!$J$132,Sheet1!$J$138,Sheet1!$J$144,Sheet1!$J$150,Sheet1!$J$156,Sheet1!$J$162,Sheet1!$J$168)</c:f>
              <c:numCache>
                <c:formatCode>General</c:formatCode>
                <c:ptCount val="7"/>
                <c:pt idx="0">
                  <c:v>1</c:v>
                </c:pt>
                <c:pt idx="1">
                  <c:v>0.95153754119350975</c:v>
                </c:pt>
                <c:pt idx="2">
                  <c:v>1.9795720524017468</c:v>
                </c:pt>
                <c:pt idx="3">
                  <c:v>0.73622786388971895</c:v>
                </c:pt>
                <c:pt idx="4">
                  <c:v>0.32216666287637585</c:v>
                </c:pt>
                <c:pt idx="5">
                  <c:v>0.19119507784083623</c:v>
                </c:pt>
                <c:pt idx="6">
                  <c:v>0.10641921077540228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ABED-47B5-97EA-3941FEDDDFBB}"/>
            </c:ext>
          </c:extLst>
        </c:ser>
        <c:ser>
          <c:idx val="5"/>
          <c:order val="5"/>
          <c:tx>
            <c:v>20000</c:v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squar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(Sheet1!$B$13,Sheet1!$B$19,Sheet1!$B$25,Sheet1!$B$31,Sheet1!$B$37)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8</c:v>
                </c:pt>
                <c:pt idx="4">
                  <c:v>16</c:v>
                </c:pt>
              </c:numCache>
            </c:numRef>
          </c:xVal>
          <c:yVal>
            <c:numRef>
              <c:f>(Sheet1!$J$133,Sheet1!$J$145,Sheet1!$J$151,Sheet1!$J$157,Sheet1!$J$163,Sheet1!$J$169)</c:f>
              <c:numCache>
                <c:formatCode>General</c:formatCode>
                <c:ptCount val="6"/>
                <c:pt idx="0">
                  <c:v>1</c:v>
                </c:pt>
                <c:pt idx="1">
                  <c:v>2.7119321745696254</c:v>
                </c:pt>
                <c:pt idx="2">
                  <c:v>1.1942304117543872</c:v>
                </c:pt>
                <c:pt idx="3">
                  <c:v>0.53391253965095453</c:v>
                </c:pt>
                <c:pt idx="4">
                  <c:v>0.39939609550394545</c:v>
                </c:pt>
                <c:pt idx="5">
                  <c:v>0.25659030156022877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ABED-47B5-97EA-3941FEDDDFBB}"/>
            </c:ext>
          </c:extLst>
        </c:ser>
        <c:ser>
          <c:idx val="6"/>
          <c:order val="6"/>
          <c:tx>
            <c:v>Ideal</c:v>
          </c:tx>
          <c:spPr>
            <a:ln w="19050" cap="rnd">
              <a:solidFill>
                <a:schemeClr val="tx1"/>
              </a:solidFill>
              <a:prstDash val="dash"/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(Sheet1!$B$8,Sheet1!$B$14,Sheet1!$B$20,Sheet1!$B$26,Sheet1!$B$32)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8</c:v>
                </c:pt>
                <c:pt idx="4">
                  <c:v>16</c:v>
                </c:pt>
              </c:numCache>
            </c:numRef>
          </c:xVal>
          <c:yVal>
            <c:numLit>
              <c:formatCode>General</c:formatCode>
              <c:ptCount val="5"/>
              <c:pt idx="0">
                <c:v>1</c:v>
              </c:pt>
              <c:pt idx="1">
                <c:v>1</c:v>
              </c:pt>
              <c:pt idx="2">
                <c:v>1</c:v>
              </c:pt>
              <c:pt idx="3">
                <c:v>1</c:v>
              </c:pt>
              <c:pt idx="4">
                <c:v>1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6-ABED-47B5-97EA-3941FEDDDFB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40864383"/>
        <c:axId val="340867743"/>
      </c:scatterChart>
      <c:valAx>
        <c:axId val="340864383"/>
        <c:scaling>
          <c:orientation val="minMax"/>
          <c:max val="16"/>
          <c:min val="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Threads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0867743"/>
        <c:crossesAt val="0.60000000000000009"/>
        <c:crossBetween val="midCat"/>
      </c:valAx>
      <c:valAx>
        <c:axId val="3408677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Efficiency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0864383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b="1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Runtime vs Grid Size for Serial and MPI nobuffer Implementations of SIR</a:t>
            </a:r>
            <a:r>
              <a:rPr lang="en-US" baseline="0"/>
              <a:t> Simulation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Serial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squar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Sheet1!$D$2:$D$7</c:f>
              <c:numCache>
                <c:formatCode>General</c:formatCode>
                <c:ptCount val="6"/>
                <c:pt idx="0">
                  <c:v>500</c:v>
                </c:pt>
                <c:pt idx="1">
                  <c:v>1000</c:v>
                </c:pt>
                <c:pt idx="2">
                  <c:v>2000</c:v>
                </c:pt>
                <c:pt idx="3">
                  <c:v>5000</c:v>
                </c:pt>
                <c:pt idx="4">
                  <c:v>10000</c:v>
                </c:pt>
                <c:pt idx="5">
                  <c:v>20000</c:v>
                </c:pt>
              </c:numCache>
            </c:numRef>
          </c:xVal>
          <c:yVal>
            <c:numRef>
              <c:f>Sheet1!$F$2:$F$7</c:f>
              <c:numCache>
                <c:formatCode>General</c:formatCode>
                <c:ptCount val="6"/>
                <c:pt idx="0">
                  <c:v>10.1472</c:v>
                </c:pt>
                <c:pt idx="1">
                  <c:v>37.576099999999997</c:v>
                </c:pt>
                <c:pt idx="2">
                  <c:v>153.69399999999999</c:v>
                </c:pt>
                <c:pt idx="3">
                  <c:v>984.98099999999999</c:v>
                </c:pt>
                <c:pt idx="4">
                  <c:v>3715.41</c:v>
                </c:pt>
                <c:pt idx="5">
                  <c:v>15741.2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DA2-499C-9439-4435B09E6D35}"/>
            </c:ext>
          </c:extLst>
        </c:ser>
        <c:ser>
          <c:idx val="1"/>
          <c:order val="1"/>
          <c:tx>
            <c:v>MPI (1 process)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Sheet1!$D$8:$D$13</c:f>
              <c:numCache>
                <c:formatCode>General</c:formatCode>
                <c:ptCount val="6"/>
                <c:pt idx="0">
                  <c:v>500</c:v>
                </c:pt>
                <c:pt idx="1">
                  <c:v>1000</c:v>
                </c:pt>
                <c:pt idx="2">
                  <c:v>2000</c:v>
                </c:pt>
                <c:pt idx="3">
                  <c:v>5000</c:v>
                </c:pt>
                <c:pt idx="4">
                  <c:v>10000</c:v>
                </c:pt>
                <c:pt idx="5">
                  <c:v>20000</c:v>
                </c:pt>
              </c:numCache>
            </c:numRef>
          </c:xVal>
          <c:yVal>
            <c:numRef>
              <c:f>Sheet1!$F$86:$F$91</c:f>
              <c:numCache>
                <c:formatCode>General</c:formatCode>
                <c:ptCount val="6"/>
                <c:pt idx="0">
                  <c:v>2.3300700000000001</c:v>
                </c:pt>
                <c:pt idx="1">
                  <c:v>8.8066099999999992</c:v>
                </c:pt>
                <c:pt idx="2">
                  <c:v>35.8416</c:v>
                </c:pt>
                <c:pt idx="3">
                  <c:v>227.93799999999999</c:v>
                </c:pt>
                <c:pt idx="4">
                  <c:v>914.17499999999995</c:v>
                </c:pt>
                <c:pt idx="5">
                  <c:v>3720.34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DA2-499C-9439-4435B09E6D35}"/>
            </c:ext>
          </c:extLst>
        </c:ser>
        <c:ser>
          <c:idx val="2"/>
          <c:order val="2"/>
          <c:tx>
            <c:v>MPI (2 processes)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squar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Sheet1!$D$14:$D$19</c:f>
              <c:numCache>
                <c:formatCode>General</c:formatCode>
                <c:ptCount val="6"/>
                <c:pt idx="0">
                  <c:v>500</c:v>
                </c:pt>
                <c:pt idx="1">
                  <c:v>1000</c:v>
                </c:pt>
                <c:pt idx="2">
                  <c:v>2000</c:v>
                </c:pt>
                <c:pt idx="3">
                  <c:v>5000</c:v>
                </c:pt>
                <c:pt idx="4">
                  <c:v>10000</c:v>
                </c:pt>
                <c:pt idx="5">
                  <c:v>20000</c:v>
                </c:pt>
              </c:numCache>
            </c:numRef>
          </c:xVal>
          <c:yVal>
            <c:numRef>
              <c:f>Sheet1!$F$92:$F$97</c:f>
              <c:numCache>
                <c:formatCode>General</c:formatCode>
                <c:ptCount val="6"/>
                <c:pt idx="0">
                  <c:v>1.24796</c:v>
                </c:pt>
                <c:pt idx="1">
                  <c:v>4.64323</c:v>
                </c:pt>
                <c:pt idx="2">
                  <c:v>18.135300000000001</c:v>
                </c:pt>
                <c:pt idx="3">
                  <c:v>119.845</c:v>
                </c:pt>
                <c:pt idx="4">
                  <c:v>476.99299999999999</c:v>
                </c:pt>
                <c:pt idx="5">
                  <c:v>1910.26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7DA2-499C-9439-4435B09E6D35}"/>
            </c:ext>
          </c:extLst>
        </c:ser>
        <c:ser>
          <c:idx val="3"/>
          <c:order val="3"/>
          <c:tx>
            <c:v>MPI (4 processes)</c:v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squar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Sheet1!$D$20:$D$25</c:f>
              <c:numCache>
                <c:formatCode>General</c:formatCode>
                <c:ptCount val="6"/>
                <c:pt idx="0">
                  <c:v>500</c:v>
                </c:pt>
                <c:pt idx="1">
                  <c:v>1000</c:v>
                </c:pt>
                <c:pt idx="2">
                  <c:v>2000</c:v>
                </c:pt>
                <c:pt idx="3">
                  <c:v>5000</c:v>
                </c:pt>
                <c:pt idx="4">
                  <c:v>10000</c:v>
                </c:pt>
                <c:pt idx="5">
                  <c:v>20000</c:v>
                </c:pt>
              </c:numCache>
            </c:numRef>
          </c:xVal>
          <c:yVal>
            <c:numRef>
              <c:f>Sheet1!$F$98:$F$103</c:f>
              <c:numCache>
                <c:formatCode>General</c:formatCode>
                <c:ptCount val="6"/>
                <c:pt idx="0">
                  <c:v>0.71897800000000001</c:v>
                </c:pt>
                <c:pt idx="1">
                  <c:v>2.5896599999999999</c:v>
                </c:pt>
                <c:pt idx="2">
                  <c:v>10.4658</c:v>
                </c:pt>
                <c:pt idx="3">
                  <c:v>66.644499999999994</c:v>
                </c:pt>
                <c:pt idx="4">
                  <c:v>265.93</c:v>
                </c:pt>
                <c:pt idx="5">
                  <c:v>1067.43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7DA2-499C-9439-4435B09E6D35}"/>
            </c:ext>
          </c:extLst>
        </c:ser>
        <c:ser>
          <c:idx val="4"/>
          <c:order val="4"/>
          <c:tx>
            <c:v>MPI (8 processes)</c:v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squar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Sheet1!$D$26:$D$31</c:f>
              <c:numCache>
                <c:formatCode>General</c:formatCode>
                <c:ptCount val="6"/>
                <c:pt idx="0">
                  <c:v>500</c:v>
                </c:pt>
                <c:pt idx="1">
                  <c:v>1000</c:v>
                </c:pt>
                <c:pt idx="2">
                  <c:v>2000</c:v>
                </c:pt>
                <c:pt idx="3">
                  <c:v>5000</c:v>
                </c:pt>
                <c:pt idx="4">
                  <c:v>10000</c:v>
                </c:pt>
                <c:pt idx="5">
                  <c:v>20000</c:v>
                </c:pt>
              </c:numCache>
            </c:numRef>
          </c:xVal>
          <c:yVal>
            <c:numRef>
              <c:f>Sheet1!$F$104:$F$109</c:f>
              <c:numCache>
                <c:formatCode>General</c:formatCode>
                <c:ptCount val="6"/>
                <c:pt idx="0">
                  <c:v>0.41038999999999998</c:v>
                </c:pt>
                <c:pt idx="1">
                  <c:v>1.4539599999999999</c:v>
                </c:pt>
                <c:pt idx="2">
                  <c:v>5.6465899999999998</c:v>
                </c:pt>
                <c:pt idx="3">
                  <c:v>37.023299999999999</c:v>
                </c:pt>
                <c:pt idx="4">
                  <c:v>151.91200000000001</c:v>
                </c:pt>
                <c:pt idx="5">
                  <c:v>592.70500000000004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7DA2-499C-9439-4435B09E6D35}"/>
            </c:ext>
          </c:extLst>
        </c:ser>
        <c:ser>
          <c:idx val="5"/>
          <c:order val="5"/>
          <c:tx>
            <c:v>MPI (16 processes)</c:v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squar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Sheet1!$D$32:$D$37</c:f>
              <c:numCache>
                <c:formatCode>General</c:formatCode>
                <c:ptCount val="6"/>
                <c:pt idx="0">
                  <c:v>500</c:v>
                </c:pt>
                <c:pt idx="1">
                  <c:v>1000</c:v>
                </c:pt>
                <c:pt idx="2">
                  <c:v>2000</c:v>
                </c:pt>
                <c:pt idx="3">
                  <c:v>5000</c:v>
                </c:pt>
                <c:pt idx="4">
                  <c:v>10000</c:v>
                </c:pt>
                <c:pt idx="5">
                  <c:v>20000</c:v>
                </c:pt>
              </c:numCache>
            </c:numRef>
          </c:xVal>
          <c:yVal>
            <c:numRef>
              <c:f>Sheet1!$F$110:$F$115</c:f>
              <c:numCache>
                <c:formatCode>General</c:formatCode>
                <c:ptCount val="6"/>
                <c:pt idx="0">
                  <c:v>0.29619299999999998</c:v>
                </c:pt>
                <c:pt idx="1">
                  <c:v>0.85240899999999997</c:v>
                </c:pt>
                <c:pt idx="2">
                  <c:v>3.3381599999999998</c:v>
                </c:pt>
                <c:pt idx="3">
                  <c:v>22.277100000000001</c:v>
                </c:pt>
                <c:pt idx="4">
                  <c:v>84.606399999999994</c:v>
                </c:pt>
                <c:pt idx="5">
                  <c:v>339.42399999999998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7DA2-499C-9439-4435B09E6D35}"/>
            </c:ext>
          </c:extLst>
        </c:ser>
        <c:ser>
          <c:idx val="6"/>
          <c:order val="6"/>
          <c:tx>
            <c:v>MPI (32 processes)</c:v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Sheet1!$D$68:$D$73</c:f>
              <c:numCache>
                <c:formatCode>General</c:formatCode>
                <c:ptCount val="6"/>
                <c:pt idx="0">
                  <c:v>500</c:v>
                </c:pt>
                <c:pt idx="1">
                  <c:v>1000</c:v>
                </c:pt>
                <c:pt idx="2">
                  <c:v>2000</c:v>
                </c:pt>
                <c:pt idx="3">
                  <c:v>5000</c:v>
                </c:pt>
                <c:pt idx="4">
                  <c:v>10000</c:v>
                </c:pt>
                <c:pt idx="5">
                  <c:v>20000</c:v>
                </c:pt>
              </c:numCache>
            </c:numRef>
          </c:xVal>
          <c:yVal>
            <c:numRef>
              <c:f>Sheet1!$F$116:$F$121</c:f>
              <c:numCache>
                <c:formatCode>General</c:formatCode>
                <c:ptCount val="6"/>
                <c:pt idx="0">
                  <c:v>0.26821899999999999</c:v>
                </c:pt>
                <c:pt idx="1">
                  <c:v>0.78497099999999997</c:v>
                </c:pt>
                <c:pt idx="2">
                  <c:v>4.2598000000000003</c:v>
                </c:pt>
                <c:pt idx="3">
                  <c:v>23.9603</c:v>
                </c:pt>
                <c:pt idx="4">
                  <c:v>87.486400000000003</c:v>
                </c:pt>
                <c:pt idx="5">
                  <c:v>378.50700000000001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7DA2-499C-9439-4435B09E6D35}"/>
            </c:ext>
          </c:extLst>
        </c:ser>
        <c:ser>
          <c:idx val="7"/>
          <c:order val="7"/>
          <c:tx>
            <c:v>MPI (64 processes)</c:v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xVal>
            <c:numRef>
              <c:f>Sheet1!$D$74:$D$79</c:f>
              <c:numCache>
                <c:formatCode>General</c:formatCode>
                <c:ptCount val="6"/>
                <c:pt idx="0">
                  <c:v>500</c:v>
                </c:pt>
                <c:pt idx="1">
                  <c:v>1000</c:v>
                </c:pt>
                <c:pt idx="2">
                  <c:v>2000</c:v>
                </c:pt>
                <c:pt idx="3">
                  <c:v>5000</c:v>
                </c:pt>
                <c:pt idx="4">
                  <c:v>10000</c:v>
                </c:pt>
                <c:pt idx="5">
                  <c:v>20000</c:v>
                </c:pt>
              </c:numCache>
            </c:numRef>
          </c:xVal>
          <c:yVal>
            <c:numRef>
              <c:f>Sheet1!$F$122:$F$127</c:f>
              <c:numCache>
                <c:formatCode>General</c:formatCode>
                <c:ptCount val="6"/>
                <c:pt idx="0">
                  <c:v>0.211981</c:v>
                </c:pt>
                <c:pt idx="1">
                  <c:v>0.92870900000000001</c:v>
                </c:pt>
                <c:pt idx="2">
                  <c:v>3.0845600000000002</c:v>
                </c:pt>
                <c:pt idx="3">
                  <c:v>15.4496</c:v>
                </c:pt>
                <c:pt idx="4">
                  <c:v>62.794600000000003</c:v>
                </c:pt>
                <c:pt idx="5">
                  <c:v>232.893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7DA2-499C-9439-4435B09E6D3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1588159"/>
        <c:axId val="181589119"/>
      </c:scatterChart>
      <c:valAx>
        <c:axId val="181588159"/>
        <c:scaling>
          <c:logBase val="10"/>
          <c:orientation val="minMax"/>
          <c:max val="30000"/>
          <c:min val="3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Grid Width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1589119"/>
        <c:crosses val="autoZero"/>
        <c:crossBetween val="midCat"/>
      </c:valAx>
      <c:valAx>
        <c:axId val="181589119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Total Time (s)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158815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0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Runtime vs Grid Size for Serial and hybrid Implementations of SIR</a:t>
            </a:r>
            <a:r>
              <a:rPr lang="en-US" baseline="0"/>
              <a:t> Simulation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Serial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squar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Sheet1!$D$2:$D$7</c:f>
              <c:numCache>
                <c:formatCode>General</c:formatCode>
                <c:ptCount val="6"/>
                <c:pt idx="0">
                  <c:v>500</c:v>
                </c:pt>
                <c:pt idx="1">
                  <c:v>1000</c:v>
                </c:pt>
                <c:pt idx="2">
                  <c:v>2000</c:v>
                </c:pt>
                <c:pt idx="3">
                  <c:v>5000</c:v>
                </c:pt>
                <c:pt idx="4">
                  <c:v>10000</c:v>
                </c:pt>
                <c:pt idx="5">
                  <c:v>20000</c:v>
                </c:pt>
              </c:numCache>
            </c:numRef>
          </c:xVal>
          <c:yVal>
            <c:numRef>
              <c:f>Sheet1!$F$2:$F$7</c:f>
              <c:numCache>
                <c:formatCode>General</c:formatCode>
                <c:ptCount val="6"/>
                <c:pt idx="0">
                  <c:v>10.1472</c:v>
                </c:pt>
                <c:pt idx="1">
                  <c:v>37.576099999999997</c:v>
                </c:pt>
                <c:pt idx="2">
                  <c:v>153.69399999999999</c:v>
                </c:pt>
                <c:pt idx="3">
                  <c:v>984.98099999999999</c:v>
                </c:pt>
                <c:pt idx="4">
                  <c:v>3715.41</c:v>
                </c:pt>
                <c:pt idx="5">
                  <c:v>15741.2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B8F-4286-BE6C-77C61FC789A7}"/>
            </c:ext>
          </c:extLst>
        </c:ser>
        <c:ser>
          <c:idx val="1"/>
          <c:order val="1"/>
          <c:tx>
            <c:v>Hybrid (1 process)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Sheet1!$D$8:$D$13</c:f>
              <c:numCache>
                <c:formatCode>General</c:formatCode>
                <c:ptCount val="6"/>
                <c:pt idx="0">
                  <c:v>500</c:v>
                </c:pt>
                <c:pt idx="1">
                  <c:v>1000</c:v>
                </c:pt>
                <c:pt idx="2">
                  <c:v>2000</c:v>
                </c:pt>
                <c:pt idx="3">
                  <c:v>5000</c:v>
                </c:pt>
                <c:pt idx="4">
                  <c:v>10000</c:v>
                </c:pt>
                <c:pt idx="5">
                  <c:v>20000</c:v>
                </c:pt>
              </c:numCache>
            </c:numRef>
          </c:xVal>
          <c:yVal>
            <c:numRef>
              <c:f>Sheet1!$F$128:$F$133</c:f>
              <c:numCache>
                <c:formatCode>General</c:formatCode>
                <c:ptCount val="6"/>
                <c:pt idx="0">
                  <c:v>2.5025400000000002</c:v>
                </c:pt>
                <c:pt idx="1">
                  <c:v>8.9317700000000002</c:v>
                </c:pt>
                <c:pt idx="2">
                  <c:v>35.345500000000001</c:v>
                </c:pt>
                <c:pt idx="3">
                  <c:v>227.59800000000001</c:v>
                </c:pt>
                <c:pt idx="4">
                  <c:v>906.64400000000001</c:v>
                </c:pt>
                <c:pt idx="5">
                  <c:v>3649.1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B8F-4286-BE6C-77C61FC789A7}"/>
            </c:ext>
          </c:extLst>
        </c:ser>
        <c:ser>
          <c:idx val="2"/>
          <c:order val="2"/>
          <c:tx>
            <c:v>Hybrid (2 processes)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squar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Sheet1!$D$14:$D$19</c:f>
              <c:numCache>
                <c:formatCode>General</c:formatCode>
                <c:ptCount val="6"/>
                <c:pt idx="0">
                  <c:v>500</c:v>
                </c:pt>
                <c:pt idx="1">
                  <c:v>1000</c:v>
                </c:pt>
                <c:pt idx="2">
                  <c:v>2000</c:v>
                </c:pt>
                <c:pt idx="3">
                  <c:v>5000</c:v>
                </c:pt>
                <c:pt idx="4">
                  <c:v>10000</c:v>
                </c:pt>
                <c:pt idx="5">
                  <c:v>20000</c:v>
                </c:pt>
              </c:numCache>
            </c:numRef>
          </c:xVal>
          <c:yVal>
            <c:numRef>
              <c:f>Sheet1!$F$134:$F$139</c:f>
              <c:numCache>
                <c:formatCode>General</c:formatCode>
                <c:ptCount val="6"/>
                <c:pt idx="0">
                  <c:v>1.4522699999999999</c:v>
                </c:pt>
                <c:pt idx="1">
                  <c:v>4.8940999999999999</c:v>
                </c:pt>
                <c:pt idx="2">
                  <c:v>18.750699999999998</c:v>
                </c:pt>
                <c:pt idx="3">
                  <c:v>122.17700000000001</c:v>
                </c:pt>
                <c:pt idx="4">
                  <c:v>476.41</c:v>
                </c:pt>
                <c:pt idx="5">
                  <c:v>1894.32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2B8F-4286-BE6C-77C61FC789A7}"/>
            </c:ext>
          </c:extLst>
        </c:ser>
        <c:ser>
          <c:idx val="3"/>
          <c:order val="3"/>
          <c:tx>
            <c:v>Hybrid (4 processes)</c:v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squar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Sheet1!$D$20:$D$25</c:f>
              <c:numCache>
                <c:formatCode>General</c:formatCode>
                <c:ptCount val="6"/>
                <c:pt idx="0">
                  <c:v>500</c:v>
                </c:pt>
                <c:pt idx="1">
                  <c:v>1000</c:v>
                </c:pt>
                <c:pt idx="2">
                  <c:v>2000</c:v>
                </c:pt>
                <c:pt idx="3">
                  <c:v>5000</c:v>
                </c:pt>
                <c:pt idx="4">
                  <c:v>10000</c:v>
                </c:pt>
                <c:pt idx="5">
                  <c:v>20000</c:v>
                </c:pt>
              </c:numCache>
            </c:numRef>
          </c:xVal>
          <c:yVal>
            <c:numRef>
              <c:f>Sheet1!$F$140:$F$145</c:f>
              <c:numCache>
                <c:formatCode>General</c:formatCode>
                <c:ptCount val="6"/>
                <c:pt idx="0">
                  <c:v>41.357900000000001</c:v>
                </c:pt>
                <c:pt idx="1">
                  <c:v>41.592100000000002</c:v>
                </c:pt>
                <c:pt idx="2">
                  <c:v>42.545900000000003</c:v>
                </c:pt>
                <c:pt idx="3">
                  <c:v>50.005099999999999</c:v>
                </c:pt>
                <c:pt idx="4">
                  <c:v>114.5</c:v>
                </c:pt>
                <c:pt idx="5">
                  <c:v>336.39299999999997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2B8F-4286-BE6C-77C61FC789A7}"/>
            </c:ext>
          </c:extLst>
        </c:ser>
        <c:ser>
          <c:idx val="4"/>
          <c:order val="4"/>
          <c:tx>
            <c:v>Hybrid (8 processes)</c:v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squar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Sheet1!$D$26:$D$31</c:f>
              <c:numCache>
                <c:formatCode>General</c:formatCode>
                <c:ptCount val="6"/>
                <c:pt idx="0">
                  <c:v>500</c:v>
                </c:pt>
                <c:pt idx="1">
                  <c:v>1000</c:v>
                </c:pt>
                <c:pt idx="2">
                  <c:v>2000</c:v>
                </c:pt>
                <c:pt idx="3">
                  <c:v>5000</c:v>
                </c:pt>
                <c:pt idx="4">
                  <c:v>10000</c:v>
                </c:pt>
                <c:pt idx="5">
                  <c:v>20000</c:v>
                </c:pt>
              </c:numCache>
            </c:numRef>
          </c:xVal>
          <c:yVal>
            <c:numRef>
              <c:f>Sheet1!$F$146:$F$151</c:f>
              <c:numCache>
                <c:formatCode>General</c:formatCode>
                <c:ptCount val="6"/>
                <c:pt idx="0">
                  <c:v>89.880499999999998</c:v>
                </c:pt>
                <c:pt idx="1">
                  <c:v>89.568700000000007</c:v>
                </c:pt>
                <c:pt idx="2">
                  <c:v>91.228999999999999</c:v>
                </c:pt>
                <c:pt idx="3">
                  <c:v>94.180499999999995</c:v>
                </c:pt>
                <c:pt idx="4">
                  <c:v>153.934</c:v>
                </c:pt>
                <c:pt idx="5">
                  <c:v>381.95100000000002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2B8F-4286-BE6C-77C61FC789A7}"/>
            </c:ext>
          </c:extLst>
        </c:ser>
        <c:ser>
          <c:idx val="5"/>
          <c:order val="5"/>
          <c:tx>
            <c:v>Hybrid (16 processes)</c:v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squar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Sheet1!$D$32:$D$37</c:f>
              <c:numCache>
                <c:formatCode>General</c:formatCode>
                <c:ptCount val="6"/>
                <c:pt idx="0">
                  <c:v>500</c:v>
                </c:pt>
                <c:pt idx="1">
                  <c:v>1000</c:v>
                </c:pt>
                <c:pt idx="2">
                  <c:v>2000</c:v>
                </c:pt>
                <c:pt idx="3">
                  <c:v>5000</c:v>
                </c:pt>
                <c:pt idx="4">
                  <c:v>10000</c:v>
                </c:pt>
                <c:pt idx="5">
                  <c:v>20000</c:v>
                </c:pt>
              </c:numCache>
            </c:numRef>
          </c:xVal>
          <c:yVal>
            <c:numRef>
              <c:f>Sheet1!$F$152:$F$157</c:f>
              <c:numCache>
                <c:formatCode>General</c:formatCode>
                <c:ptCount val="6"/>
                <c:pt idx="0">
                  <c:v>106.925</c:v>
                </c:pt>
                <c:pt idx="1">
                  <c:v>107.746</c:v>
                </c:pt>
                <c:pt idx="2">
                  <c:v>108.434</c:v>
                </c:pt>
                <c:pt idx="3">
                  <c:v>110.155</c:v>
                </c:pt>
                <c:pt idx="4">
                  <c:v>175.88800000000001</c:v>
                </c:pt>
                <c:pt idx="5">
                  <c:v>427.16500000000002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2B8F-4286-BE6C-77C61FC789A7}"/>
            </c:ext>
          </c:extLst>
        </c:ser>
        <c:ser>
          <c:idx val="6"/>
          <c:order val="6"/>
          <c:tx>
            <c:v>Hybrid (32 processes)</c:v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Sheet1!$D$68:$D$73</c:f>
              <c:numCache>
                <c:formatCode>General</c:formatCode>
                <c:ptCount val="6"/>
                <c:pt idx="0">
                  <c:v>500</c:v>
                </c:pt>
                <c:pt idx="1">
                  <c:v>1000</c:v>
                </c:pt>
                <c:pt idx="2">
                  <c:v>2000</c:v>
                </c:pt>
                <c:pt idx="3">
                  <c:v>5000</c:v>
                </c:pt>
                <c:pt idx="4">
                  <c:v>10000</c:v>
                </c:pt>
                <c:pt idx="5">
                  <c:v>20000</c:v>
                </c:pt>
              </c:numCache>
            </c:numRef>
          </c:xVal>
          <c:yVal>
            <c:numRef>
              <c:f>Sheet1!$F$158:$F$163</c:f>
              <c:numCache>
                <c:formatCode>General</c:formatCode>
                <c:ptCount val="6"/>
                <c:pt idx="0">
                  <c:v>114.37</c:v>
                </c:pt>
                <c:pt idx="1">
                  <c:v>112.29600000000001</c:v>
                </c:pt>
                <c:pt idx="2">
                  <c:v>114.09699999999999</c:v>
                </c:pt>
                <c:pt idx="3">
                  <c:v>120.70099999999999</c:v>
                </c:pt>
                <c:pt idx="4">
                  <c:v>148.18700000000001</c:v>
                </c:pt>
                <c:pt idx="5">
                  <c:v>285.517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2B8F-4286-BE6C-77C61FC789A7}"/>
            </c:ext>
          </c:extLst>
        </c:ser>
        <c:ser>
          <c:idx val="7"/>
          <c:order val="7"/>
          <c:tx>
            <c:v>Hybrid (64 processes)</c:v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xVal>
            <c:numRef>
              <c:f>Sheet1!$D$74:$D$79</c:f>
              <c:numCache>
                <c:formatCode>General</c:formatCode>
                <c:ptCount val="6"/>
                <c:pt idx="0">
                  <c:v>500</c:v>
                </c:pt>
                <c:pt idx="1">
                  <c:v>1000</c:v>
                </c:pt>
                <c:pt idx="2">
                  <c:v>2000</c:v>
                </c:pt>
                <c:pt idx="3">
                  <c:v>5000</c:v>
                </c:pt>
                <c:pt idx="4">
                  <c:v>10000</c:v>
                </c:pt>
                <c:pt idx="5">
                  <c:v>20000</c:v>
                </c:pt>
              </c:numCache>
            </c:numRef>
          </c:xVal>
          <c:yVal>
            <c:numRef>
              <c:f>Sheet1!$F$164:$F$169</c:f>
              <c:numCache>
                <c:formatCode>General</c:formatCode>
                <c:ptCount val="6"/>
                <c:pt idx="0">
                  <c:v>113.161</c:v>
                </c:pt>
                <c:pt idx="1">
                  <c:v>117.934</c:v>
                </c:pt>
                <c:pt idx="2">
                  <c:v>118.104</c:v>
                </c:pt>
                <c:pt idx="3">
                  <c:v>132.15700000000001</c:v>
                </c:pt>
                <c:pt idx="4">
                  <c:v>133.11799999999999</c:v>
                </c:pt>
                <c:pt idx="5">
                  <c:v>222.21100000000001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2B8F-4286-BE6C-77C61FC789A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1588159"/>
        <c:axId val="181589119"/>
      </c:scatterChart>
      <c:valAx>
        <c:axId val="181588159"/>
        <c:scaling>
          <c:logBase val="10"/>
          <c:orientation val="minMax"/>
          <c:max val="30000"/>
          <c:min val="3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Grid Width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1589119"/>
        <c:crosses val="autoZero"/>
        <c:crossBetween val="midCat"/>
      </c:valAx>
      <c:valAx>
        <c:axId val="181589119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Total Time (s)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158815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0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12" Type="http://schemas.openxmlformats.org/officeDocument/2006/relationships/chart" Target="../charts/chart12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11" Type="http://schemas.openxmlformats.org/officeDocument/2006/relationships/chart" Target="../charts/chart11.xml"/><Relationship Id="rId5" Type="http://schemas.openxmlformats.org/officeDocument/2006/relationships/chart" Target="../charts/chart5.xml"/><Relationship Id="rId10" Type="http://schemas.openxmlformats.org/officeDocument/2006/relationships/chart" Target="../charts/chart10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8792</xdr:colOff>
      <xdr:row>2</xdr:row>
      <xdr:rowOff>0</xdr:rowOff>
    </xdr:from>
    <xdr:to>
      <xdr:col>20</xdr:col>
      <xdr:colOff>467592</xdr:colOff>
      <xdr:row>25</xdr:row>
      <xdr:rowOff>67742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13872AB-83C1-77D5-45DB-0C21C2C6924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256251</xdr:colOff>
      <xdr:row>27</xdr:row>
      <xdr:rowOff>0</xdr:rowOff>
    </xdr:from>
    <xdr:to>
      <xdr:col>19</xdr:col>
      <xdr:colOff>381000</xdr:colOff>
      <xdr:row>42</xdr:row>
      <xdr:rowOff>75295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83633EF-F72D-6A6A-0AFD-52F1FD2FF1A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12</xdr:col>
      <xdr:colOff>287420</xdr:colOff>
      <xdr:row>43</xdr:row>
      <xdr:rowOff>155864</xdr:rowOff>
    </xdr:from>
    <xdr:to>
      <xdr:col>19</xdr:col>
      <xdr:colOff>69274</xdr:colOff>
      <xdr:row>60</xdr:row>
      <xdr:rowOff>55603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C294B046-E7C1-9D6D-B616-15B4DAA3B64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22</xdr:col>
      <xdr:colOff>432954</xdr:colOff>
      <xdr:row>27</xdr:row>
      <xdr:rowOff>51955</xdr:rowOff>
    </xdr:from>
    <xdr:to>
      <xdr:col>30</xdr:col>
      <xdr:colOff>769555</xdr:colOff>
      <xdr:row>44</xdr:row>
      <xdr:rowOff>79336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D8D59D0B-4D87-4DFE-BE78-EDA929DC1C4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22</xdr:col>
      <xdr:colOff>571500</xdr:colOff>
      <xdr:row>45</xdr:row>
      <xdr:rowOff>34636</xdr:rowOff>
    </xdr:from>
    <xdr:to>
      <xdr:col>30</xdr:col>
      <xdr:colOff>789396</xdr:colOff>
      <xdr:row>62</xdr:row>
      <xdr:rowOff>57087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754BF591-787D-4F5C-A493-E3ED2E5CCC3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21</xdr:col>
      <xdr:colOff>336376</xdr:colOff>
      <xdr:row>1</xdr:row>
      <xdr:rowOff>188336</xdr:rowOff>
    </xdr:from>
    <xdr:to>
      <xdr:col>32</xdr:col>
      <xdr:colOff>52531</xdr:colOff>
      <xdr:row>26</xdr:row>
      <xdr:rowOff>135948</xdr:rowOff>
    </xdr:to>
    <xdr:graphicFrame macro="">
      <xdr:nvGraphicFramePr>
        <xdr:cNvPr id="63" name="Chart 6">
          <a:extLst>
            <a:ext uri="{FF2B5EF4-FFF2-40B4-BE49-F238E27FC236}">
              <a16:creationId xmlns:a16="http://schemas.microsoft.com/office/drawing/2014/main" id="{61232DEE-5025-49F6-9B33-7B23A13F667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33</xdr:col>
      <xdr:colOff>329046</xdr:colOff>
      <xdr:row>27</xdr:row>
      <xdr:rowOff>86591</xdr:rowOff>
    </xdr:from>
    <xdr:to>
      <xdr:col>43</xdr:col>
      <xdr:colOff>326705</xdr:colOff>
      <xdr:row>44</xdr:row>
      <xdr:rowOff>113972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CFD46228-5E61-4C5E-AE4A-000532A3E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46</xdr:col>
      <xdr:colOff>242455</xdr:colOff>
      <xdr:row>27</xdr:row>
      <xdr:rowOff>138545</xdr:rowOff>
    </xdr:from>
    <xdr:to>
      <xdr:col>56</xdr:col>
      <xdr:colOff>240115</xdr:colOff>
      <xdr:row>44</xdr:row>
      <xdr:rowOff>165926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4BAC67CE-7FD8-4D47-904C-6C2F9FC0A04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33</xdr:col>
      <xdr:colOff>294409</xdr:colOff>
      <xdr:row>47</xdr:row>
      <xdr:rowOff>51954</xdr:rowOff>
    </xdr:from>
    <xdr:to>
      <xdr:col>43</xdr:col>
      <xdr:colOff>185733</xdr:colOff>
      <xdr:row>64</xdr:row>
      <xdr:rowOff>74405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1259B5D9-541D-48B4-A9ED-75958785F85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46</xdr:col>
      <xdr:colOff>398318</xdr:colOff>
      <xdr:row>47</xdr:row>
      <xdr:rowOff>173182</xdr:rowOff>
    </xdr:from>
    <xdr:to>
      <xdr:col>56</xdr:col>
      <xdr:colOff>289643</xdr:colOff>
      <xdr:row>65</xdr:row>
      <xdr:rowOff>22451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191CFA54-C105-42BA-AF4A-F2E68C2988E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32</xdr:col>
      <xdr:colOff>571501</xdr:colOff>
      <xdr:row>1</xdr:row>
      <xdr:rowOff>190499</xdr:rowOff>
    </xdr:from>
    <xdr:to>
      <xdr:col>45</xdr:col>
      <xdr:colOff>270339</xdr:colOff>
      <xdr:row>26</xdr:row>
      <xdr:rowOff>138111</xdr:rowOff>
    </xdr:to>
    <xdr:graphicFrame macro="">
      <xdr:nvGraphicFramePr>
        <xdr:cNvPr id="21" name="Chart 13">
          <a:extLst>
            <a:ext uri="{FF2B5EF4-FFF2-40B4-BE49-F238E27FC236}">
              <a16:creationId xmlns:a16="http://schemas.microsoft.com/office/drawing/2014/main" id="{7C8AE7E9-59B0-4D75-821B-321A8104599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46</xdr:col>
      <xdr:colOff>225136</xdr:colOff>
      <xdr:row>2</xdr:row>
      <xdr:rowOff>51954</xdr:rowOff>
    </xdr:from>
    <xdr:to>
      <xdr:col>58</xdr:col>
      <xdr:colOff>530110</xdr:colOff>
      <xdr:row>26</xdr:row>
      <xdr:rowOff>190066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070B6892-4344-4BB2-BFBB-703A1292D33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96278B2-D094-48DC-B331-6BCC94EE87E6}" name="Table1" displayName="Table1" ref="A1:J169" totalsRowShown="0">
  <autoFilter ref="A1:J169" xr:uid="{496278B2-D094-48DC-B331-6BCC94EE87E6}"/>
  <tableColumns count="10">
    <tableColumn id="1" xr3:uid="{6E8DF681-25C9-4100-8A27-B7BDD514B17E}" name="Type"/>
    <tableColumn id="2" xr3:uid="{CDC049A3-F01E-49B5-9465-0289A4BA2ED8}" name="Threads/Procs"/>
    <tableColumn id="3" xr3:uid="{9E52B574-12E7-410B-BBFB-6F4A6EF09545}" name="Steps"/>
    <tableColumn id="4" xr3:uid="{0DAA0463-A0EF-4BAA-80ED-534C39BA3CF5}" name="Width"/>
    <tableColumn id="5" xr3:uid="{B18F09F6-517F-4AEF-ACD9-926649A220CC}" name="Height"/>
    <tableColumn id="6" xr3:uid="{24811746-C35A-4178-945A-7BCDD20F5D20}" name="TotalTime (s)"/>
    <tableColumn id="7" xr3:uid="{AE2AFDBE-E06B-4378-BAB0-2D9B46BF5126}" name="TimePerStep (ms)"/>
    <tableColumn id="8" xr3:uid="{A4EADA1E-2E89-4663-916B-F9E11ED3A932}" name="T1"/>
    <tableColumn id="9" xr3:uid="{626AAB06-C968-4300-9573-317386856825}" name="Speedup" dataDxfId="9">
      <calculatedColumnFormula>IF($A2="OpenMP", $H2 / $F2, "")</calculatedColumnFormula>
    </tableColumn>
    <tableColumn id="10" xr3:uid="{293556BA-4056-495E-AF24-6AB444E017BF}" name="Efficiency" dataDxfId="8">
      <calculatedColumnFormula>IF($A2="OpenMP", I2 / $B2, "")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D5E87CD-8B6E-4034-A707-33F00CE4BE8D}" name="Table2" displayName="Table2" ref="M65:R71" totalsRowShown="0" headerRowDxfId="7" dataDxfId="6">
  <autoFilter ref="M65:R71" xr:uid="{6D5E87CD-8B6E-4034-A707-33F00CE4BE8D}"/>
  <tableColumns count="6">
    <tableColumn id="1" xr3:uid="{B8C74DBC-B419-4B7E-AB94-4A2B818B7E18}" name="Grid width" dataDxfId="5"/>
    <tableColumn id="2" xr3:uid="{832155DC-286B-473F-8FBA-865342A41C46}" name="Serial time" dataDxfId="4"/>
    <tableColumn id="3" xr3:uid="{36F6C94E-310E-4CEE-A58F-CE30813CB854}" name="OpenMP 16-thread time" dataDxfId="3"/>
    <tableColumn id="4" xr3:uid="{5B6E2C48-2FF4-45F1-AD52-BC6B77433E3C}" name="Tserial / T16" dataDxfId="2"/>
    <tableColumn id="5" xr3:uid="{A3128A1F-7F54-4498-8681-AFFB5ABA0588}" name="Speedup" dataDxfId="1"/>
    <tableColumn id="6" xr3:uid="{00D254E8-EEE8-42E6-AAAD-053F527652B3}" name="Efficiency" dataDxfId="0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BEC42180-8E6F-443D-BB84-DFA5E137DF99}" name="Table4" displayName="Table4" ref="O80:T107" totalsRowShown="0">
  <autoFilter ref="O80:T107" xr:uid="{BEC42180-8E6F-443D-BB84-DFA5E137DF99}"/>
  <tableColumns count="6">
    <tableColumn id="1" xr3:uid="{B3DE194A-E5E0-48D1-B4B7-C530793453CE}" name="Hybrid Large Problem"/>
    <tableColumn id="3" xr3:uid="{3DA0D5A2-8FAE-4E5C-B486-B530B63B2285}" name="p"/>
    <tableColumn id="4" xr3:uid="{141CFC6D-28FB-4BA6-85B0-3304BBEE560D}" name="t"/>
    <tableColumn id="5" xr3:uid="{9E1BDA7D-3730-4319-A4D8-2A72D30B7BFD}" name="steps"/>
    <tableColumn id="6" xr3:uid="{6EC7ECC6-9ECB-4D5F-9721-BAA158EB8CFC}" name="gridsize"/>
    <tableColumn id="8" xr3:uid="{511B6D3C-305C-42A1-8CC6-1A6EDA92863F}" name="tim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openxmlformats.org/officeDocument/2006/relationships/table" Target="../tables/table3.xml"/><Relationship Id="rId4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169"/>
  <sheetViews>
    <sheetView tabSelected="1" topLeftCell="M78" zoomScale="55" zoomScaleNormal="55" workbookViewId="0">
      <selection activeCell="W80" sqref="W80:AB92"/>
    </sheetView>
  </sheetViews>
  <sheetFormatPr defaultRowHeight="15"/>
  <cols>
    <col min="1" max="1" width="15" bestFit="1" customWidth="1"/>
    <col min="2" max="2" width="15.140625" bestFit="1" customWidth="1"/>
    <col min="3" max="3" width="27.42578125" bestFit="1" customWidth="1"/>
    <col min="4" max="4" width="13.85546875" bestFit="1" customWidth="1"/>
    <col min="5" max="5" width="13.42578125" bestFit="1" customWidth="1"/>
    <col min="6" max="6" width="14.85546875" bestFit="1" customWidth="1"/>
    <col min="7" max="7" width="19.28515625" bestFit="1" customWidth="1"/>
    <col min="8" max="8" width="8.7109375" bestFit="1" customWidth="1"/>
    <col min="9" max="10" width="13.140625" bestFit="1" customWidth="1"/>
    <col min="13" max="13" width="14.85546875" customWidth="1"/>
    <col min="14" max="14" width="14.28515625" customWidth="1"/>
    <col min="15" max="15" width="20.28515625" customWidth="1"/>
    <col min="16" max="16" width="14.28515625" customWidth="1"/>
    <col min="17" max="17" width="11.7109375" customWidth="1"/>
    <col min="18" max="18" width="11.28515625" customWidth="1"/>
    <col min="20" max="20" width="10.140625" bestFit="1" customWidth="1"/>
    <col min="21" max="21" width="11.28515625" bestFit="1" customWidth="1"/>
    <col min="23" max="23" width="12.28515625" bestFit="1" customWidth="1"/>
    <col min="26" max="26" width="10.7109375" bestFit="1" customWidth="1"/>
    <col min="27" max="27" width="10.5703125" bestFit="1" customWidth="1"/>
    <col min="28" max="28" width="13.42578125" bestFit="1" customWidth="1"/>
    <col min="29" max="29" width="11" bestFit="1" customWidth="1"/>
    <col min="30" max="30" width="13.42578125" bestFit="1" customWidth="1"/>
    <col min="31" max="31" width="13.140625" bestFit="1" customWidth="1"/>
  </cols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>
        <v>1</v>
      </c>
      <c r="C2">
        <v>1000</v>
      </c>
      <c r="D2">
        <v>500</v>
      </c>
      <c r="E2">
        <v>500</v>
      </c>
      <c r="F2">
        <v>10.1472</v>
      </c>
      <c r="G2">
        <v>10.1472</v>
      </c>
      <c r="I2" t="str">
        <f t="shared" ref="I2:I37" si="0">IF($A2="OpenMP", $H2 / $F2, "")</f>
        <v/>
      </c>
      <c r="J2" t="str">
        <f t="shared" ref="J2:J36" si="1">IF($A2="OpenMP", I2 / $B2, "")</f>
        <v/>
      </c>
    </row>
    <row r="3" spans="1:10">
      <c r="A3" t="s">
        <v>10</v>
      </c>
      <c r="B3">
        <v>1</v>
      </c>
      <c r="C3">
        <v>1000</v>
      </c>
      <c r="D3">
        <v>1000</v>
      </c>
      <c r="E3">
        <v>1000</v>
      </c>
      <c r="F3">
        <v>37.576099999999997</v>
      </c>
      <c r="G3">
        <v>37.576099999999997</v>
      </c>
      <c r="I3" t="str">
        <f t="shared" si="0"/>
        <v/>
      </c>
      <c r="J3" t="str">
        <f t="shared" si="1"/>
        <v/>
      </c>
    </row>
    <row r="4" spans="1:10">
      <c r="A4" t="s">
        <v>10</v>
      </c>
      <c r="B4">
        <v>1</v>
      </c>
      <c r="C4">
        <v>1000</v>
      </c>
      <c r="D4">
        <v>2000</v>
      </c>
      <c r="E4">
        <v>2000</v>
      </c>
      <c r="F4">
        <v>153.69399999999999</v>
      </c>
      <c r="G4">
        <v>153.69399999999999</v>
      </c>
      <c r="I4" t="str">
        <f t="shared" si="0"/>
        <v/>
      </c>
      <c r="J4" t="str">
        <f t="shared" si="1"/>
        <v/>
      </c>
    </row>
    <row r="5" spans="1:10">
      <c r="A5" t="s">
        <v>10</v>
      </c>
      <c r="B5">
        <v>1</v>
      </c>
      <c r="C5">
        <v>1000</v>
      </c>
      <c r="D5">
        <v>5000</v>
      </c>
      <c r="E5">
        <v>5000</v>
      </c>
      <c r="F5">
        <v>984.98099999999999</v>
      </c>
      <c r="G5">
        <v>984.98099999999999</v>
      </c>
      <c r="I5" t="str">
        <f t="shared" si="0"/>
        <v/>
      </c>
      <c r="J5" t="str">
        <f t="shared" si="1"/>
        <v/>
      </c>
    </row>
    <row r="6" spans="1:10">
      <c r="A6" t="s">
        <v>10</v>
      </c>
      <c r="B6">
        <v>1</v>
      </c>
      <c r="C6">
        <v>1000</v>
      </c>
      <c r="D6">
        <v>10000</v>
      </c>
      <c r="E6">
        <v>10000</v>
      </c>
      <c r="F6">
        <v>3715.41</v>
      </c>
      <c r="G6">
        <v>3715.41</v>
      </c>
      <c r="I6" t="str">
        <f t="shared" si="0"/>
        <v/>
      </c>
      <c r="J6" t="str">
        <f t="shared" si="1"/>
        <v/>
      </c>
    </row>
    <row r="7" spans="1:10">
      <c r="A7" t="s">
        <v>10</v>
      </c>
      <c r="B7">
        <v>1</v>
      </c>
      <c r="C7">
        <v>1000</v>
      </c>
      <c r="D7">
        <v>20000</v>
      </c>
      <c r="E7">
        <v>20000</v>
      </c>
      <c r="F7">
        <v>15741.2</v>
      </c>
      <c r="G7">
        <v>15741.2</v>
      </c>
      <c r="I7" t="str">
        <f t="shared" si="0"/>
        <v/>
      </c>
      <c r="J7" t="str">
        <f t="shared" si="1"/>
        <v/>
      </c>
    </row>
    <row r="8" spans="1:10">
      <c r="A8" t="s">
        <v>11</v>
      </c>
      <c r="B8">
        <v>1</v>
      </c>
      <c r="C8">
        <v>1000</v>
      </c>
      <c r="D8">
        <v>500</v>
      </c>
      <c r="E8">
        <v>500</v>
      </c>
      <c r="F8">
        <v>18.944900000000001</v>
      </c>
      <c r="G8">
        <v>18.944900000000001</v>
      </c>
      <c r="H8">
        <v>18.944900000000001</v>
      </c>
      <c r="I8">
        <f t="shared" si="0"/>
        <v>1</v>
      </c>
      <c r="J8">
        <f t="shared" si="1"/>
        <v>1</v>
      </c>
    </row>
    <row r="9" spans="1:10">
      <c r="A9" t="s">
        <v>11</v>
      </c>
      <c r="B9">
        <v>1</v>
      </c>
      <c r="C9">
        <v>1000</v>
      </c>
      <c r="D9">
        <v>1000</v>
      </c>
      <c r="E9">
        <v>1000</v>
      </c>
      <c r="F9">
        <v>72.347399999999993</v>
      </c>
      <c r="G9">
        <v>72.347399999999993</v>
      </c>
      <c r="H9">
        <v>72.347399999999993</v>
      </c>
      <c r="I9">
        <f t="shared" si="0"/>
        <v>1</v>
      </c>
      <c r="J9">
        <f t="shared" si="1"/>
        <v>1</v>
      </c>
    </row>
    <row r="10" spans="1:10">
      <c r="A10" t="s">
        <v>11</v>
      </c>
      <c r="B10">
        <v>1</v>
      </c>
      <c r="C10">
        <v>1000</v>
      </c>
      <c r="D10">
        <v>2000</v>
      </c>
      <c r="E10">
        <v>2000</v>
      </c>
      <c r="F10">
        <v>270.108</v>
      </c>
      <c r="G10">
        <v>270.108</v>
      </c>
      <c r="H10">
        <v>270.108</v>
      </c>
      <c r="I10">
        <f t="shared" si="0"/>
        <v>1</v>
      </c>
      <c r="J10">
        <f t="shared" si="1"/>
        <v>1</v>
      </c>
    </row>
    <row r="11" spans="1:10">
      <c r="A11" t="s">
        <v>11</v>
      </c>
      <c r="B11">
        <v>1</v>
      </c>
      <c r="C11">
        <v>1000</v>
      </c>
      <c r="D11">
        <v>5000</v>
      </c>
      <c r="E11">
        <v>5000</v>
      </c>
      <c r="F11">
        <v>1820.39</v>
      </c>
      <c r="G11">
        <v>1820.39</v>
      </c>
      <c r="H11">
        <v>1820.39</v>
      </c>
      <c r="I11">
        <f t="shared" si="0"/>
        <v>1</v>
      </c>
      <c r="J11">
        <f t="shared" si="1"/>
        <v>1</v>
      </c>
    </row>
    <row r="12" spans="1:10">
      <c r="A12" t="s">
        <v>11</v>
      </c>
      <c r="B12">
        <v>1</v>
      </c>
      <c r="C12">
        <v>1000</v>
      </c>
      <c r="D12">
        <v>10000</v>
      </c>
      <c r="E12">
        <v>10000</v>
      </c>
      <c r="F12">
        <v>7118.34</v>
      </c>
      <c r="G12">
        <v>7118.34</v>
      </c>
      <c r="H12">
        <v>7118.34</v>
      </c>
      <c r="I12">
        <f t="shared" si="0"/>
        <v>1</v>
      </c>
      <c r="J12">
        <f t="shared" si="1"/>
        <v>1</v>
      </c>
    </row>
    <row r="13" spans="1:10">
      <c r="A13" t="s">
        <v>11</v>
      </c>
      <c r="B13">
        <v>1</v>
      </c>
      <c r="C13">
        <v>1000</v>
      </c>
      <c r="D13">
        <v>20000</v>
      </c>
      <c r="E13">
        <v>20000</v>
      </c>
      <c r="F13">
        <v>27532</v>
      </c>
      <c r="G13">
        <v>27532</v>
      </c>
      <c r="H13">
        <v>27532</v>
      </c>
      <c r="I13">
        <f t="shared" si="0"/>
        <v>1</v>
      </c>
      <c r="J13">
        <f t="shared" si="1"/>
        <v>1</v>
      </c>
    </row>
    <row r="14" spans="1:10">
      <c r="A14" t="s">
        <v>11</v>
      </c>
      <c r="B14">
        <v>2</v>
      </c>
      <c r="C14">
        <v>1000</v>
      </c>
      <c r="D14">
        <v>500</v>
      </c>
      <c r="E14">
        <v>500</v>
      </c>
      <c r="F14">
        <v>9.0174199999999995</v>
      </c>
      <c r="G14">
        <v>9.0174199999999995</v>
      </c>
      <c r="H14">
        <v>18.944900000000001</v>
      </c>
      <c r="I14">
        <f t="shared" si="0"/>
        <v>2.1009224367945598</v>
      </c>
      <c r="J14">
        <f t="shared" si="1"/>
        <v>1.0504612183972799</v>
      </c>
    </row>
    <row r="15" spans="1:10">
      <c r="A15" t="s">
        <v>11</v>
      </c>
      <c r="B15">
        <v>2</v>
      </c>
      <c r="C15">
        <v>1000</v>
      </c>
      <c r="D15">
        <v>1000</v>
      </c>
      <c r="E15">
        <v>1000</v>
      </c>
      <c r="F15">
        <v>37.260300000000001</v>
      </c>
      <c r="G15">
        <v>37.260300000000001</v>
      </c>
      <c r="H15">
        <v>72.347399999999993</v>
      </c>
      <c r="I15">
        <f t="shared" si="0"/>
        <v>1.9416751878004201</v>
      </c>
      <c r="J15">
        <f t="shared" si="1"/>
        <v>0.97083759390021007</v>
      </c>
    </row>
    <row r="16" spans="1:10">
      <c r="A16" t="s">
        <v>11</v>
      </c>
      <c r="B16">
        <v>2</v>
      </c>
      <c r="C16">
        <v>1000</v>
      </c>
      <c r="D16">
        <v>2000</v>
      </c>
      <c r="E16">
        <v>2000</v>
      </c>
      <c r="F16">
        <v>147.09100000000001</v>
      </c>
      <c r="G16">
        <v>147.09100000000001</v>
      </c>
      <c r="H16">
        <v>270.108</v>
      </c>
      <c r="I16">
        <f t="shared" si="0"/>
        <v>1.836332610424839</v>
      </c>
      <c r="J16">
        <f t="shared" si="1"/>
        <v>0.91816630521241949</v>
      </c>
    </row>
    <row r="17" spans="1:10">
      <c r="A17" t="s">
        <v>11</v>
      </c>
      <c r="B17">
        <v>2</v>
      </c>
      <c r="C17">
        <v>1000</v>
      </c>
      <c r="D17">
        <v>5000</v>
      </c>
      <c r="E17">
        <v>5000</v>
      </c>
      <c r="F17">
        <v>768.62800000000004</v>
      </c>
      <c r="G17">
        <v>768.62800000000004</v>
      </c>
      <c r="H17">
        <v>1820.39</v>
      </c>
      <c r="I17">
        <f t="shared" si="0"/>
        <v>2.3683628491285771</v>
      </c>
      <c r="J17">
        <f t="shared" si="1"/>
        <v>1.1841814245642885</v>
      </c>
    </row>
    <row r="18" spans="1:10">
      <c r="A18" t="s">
        <v>11</v>
      </c>
      <c r="B18">
        <v>2</v>
      </c>
      <c r="C18">
        <v>1000</v>
      </c>
      <c r="D18">
        <v>10000</v>
      </c>
      <c r="E18">
        <v>10000</v>
      </c>
      <c r="F18">
        <v>3296.16</v>
      </c>
      <c r="G18">
        <v>3296.16</v>
      </c>
      <c r="H18">
        <v>7118.34</v>
      </c>
      <c r="I18">
        <f t="shared" si="0"/>
        <v>2.1595856997233147</v>
      </c>
      <c r="J18">
        <f t="shared" si="1"/>
        <v>1.0797928498616574</v>
      </c>
    </row>
    <row r="19" spans="1:10">
      <c r="A19" t="s">
        <v>11</v>
      </c>
      <c r="B19">
        <v>2</v>
      </c>
      <c r="C19">
        <v>1000</v>
      </c>
      <c r="D19">
        <v>20000</v>
      </c>
      <c r="E19">
        <v>20000</v>
      </c>
      <c r="F19">
        <v>5197.59</v>
      </c>
      <c r="G19">
        <v>5197.59</v>
      </c>
      <c r="H19">
        <v>27532</v>
      </c>
      <c r="I19">
        <f t="shared" si="0"/>
        <v>5.2970703729997943</v>
      </c>
      <c r="J19">
        <f t="shared" si="1"/>
        <v>2.6485351864998972</v>
      </c>
    </row>
    <row r="20" spans="1:10">
      <c r="A20" t="s">
        <v>11</v>
      </c>
      <c r="B20">
        <v>4</v>
      </c>
      <c r="C20">
        <v>1000</v>
      </c>
      <c r="D20">
        <v>500</v>
      </c>
      <c r="E20">
        <v>500</v>
      </c>
      <c r="F20">
        <v>1.5293300000000001</v>
      </c>
      <c r="G20">
        <v>1.5293300000000001</v>
      </c>
      <c r="H20">
        <v>18.944900000000001</v>
      </c>
      <c r="I20">
        <f t="shared" si="0"/>
        <v>12.387712266155768</v>
      </c>
      <c r="J20">
        <f t="shared" si="1"/>
        <v>3.096928066538942</v>
      </c>
    </row>
    <row r="21" spans="1:10">
      <c r="A21" t="s">
        <v>11</v>
      </c>
      <c r="B21">
        <v>4</v>
      </c>
      <c r="C21">
        <v>1000</v>
      </c>
      <c r="D21">
        <v>1000</v>
      </c>
      <c r="E21">
        <v>1000</v>
      </c>
      <c r="F21">
        <v>19.9206</v>
      </c>
      <c r="G21">
        <v>19.9206</v>
      </c>
      <c r="H21">
        <v>72.347399999999993</v>
      </c>
      <c r="I21">
        <f t="shared" si="0"/>
        <v>3.6317881991506278</v>
      </c>
      <c r="J21">
        <f t="shared" si="1"/>
        <v>0.90794704978765695</v>
      </c>
    </row>
    <row r="22" spans="1:10">
      <c r="A22" t="s">
        <v>11</v>
      </c>
      <c r="B22">
        <v>4</v>
      </c>
      <c r="C22">
        <v>1000</v>
      </c>
      <c r="D22">
        <v>2000</v>
      </c>
      <c r="E22">
        <v>2000</v>
      </c>
      <c r="F22">
        <v>74.463200000000001</v>
      </c>
      <c r="G22">
        <v>74.463200000000001</v>
      </c>
      <c r="H22">
        <v>270.108</v>
      </c>
      <c r="I22">
        <f t="shared" si="0"/>
        <v>3.6274025290344762</v>
      </c>
      <c r="J22">
        <f t="shared" si="1"/>
        <v>0.90685063225861906</v>
      </c>
    </row>
    <row r="23" spans="1:10">
      <c r="A23" t="s">
        <v>11</v>
      </c>
      <c r="B23">
        <v>4</v>
      </c>
      <c r="C23">
        <v>1000</v>
      </c>
      <c r="D23">
        <v>5000</v>
      </c>
      <c r="E23">
        <v>5000</v>
      </c>
      <c r="F23">
        <v>490.16300000000001</v>
      </c>
      <c r="G23">
        <v>490.16300000000001</v>
      </c>
      <c r="H23">
        <v>1820.39</v>
      </c>
      <c r="I23">
        <f t="shared" si="0"/>
        <v>3.713846210342274</v>
      </c>
      <c r="J23">
        <f t="shared" si="1"/>
        <v>0.92846155258556851</v>
      </c>
    </row>
    <row r="24" spans="1:10">
      <c r="A24" t="s">
        <v>11</v>
      </c>
      <c r="B24">
        <v>4</v>
      </c>
      <c r="C24">
        <v>1000</v>
      </c>
      <c r="D24">
        <v>10000</v>
      </c>
      <c r="E24">
        <v>10000</v>
      </c>
      <c r="F24">
        <v>795.21100000000001</v>
      </c>
      <c r="G24">
        <v>795.21100000000001</v>
      </c>
      <c r="H24">
        <v>7118.34</v>
      </c>
      <c r="I24">
        <f t="shared" si="0"/>
        <v>8.9515109826197072</v>
      </c>
      <c r="J24">
        <f t="shared" si="1"/>
        <v>2.2378777456549268</v>
      </c>
    </row>
    <row r="25" spans="1:10">
      <c r="A25" t="s">
        <v>11</v>
      </c>
      <c r="B25">
        <v>4</v>
      </c>
      <c r="C25">
        <v>1000</v>
      </c>
      <c r="D25">
        <v>20000</v>
      </c>
      <c r="E25">
        <v>20000</v>
      </c>
      <c r="F25">
        <v>2435.89</v>
      </c>
      <c r="G25">
        <v>2435.89</v>
      </c>
      <c r="H25">
        <v>27532</v>
      </c>
      <c r="I25">
        <f t="shared" si="0"/>
        <v>11.302645029126932</v>
      </c>
      <c r="J25">
        <f t="shared" si="1"/>
        <v>2.825661257281733</v>
      </c>
    </row>
    <row r="26" spans="1:10">
      <c r="A26" t="s">
        <v>11</v>
      </c>
      <c r="B26">
        <v>8</v>
      </c>
      <c r="C26">
        <v>1000</v>
      </c>
      <c r="D26">
        <v>500</v>
      </c>
      <c r="E26">
        <v>500</v>
      </c>
      <c r="F26">
        <v>2.24614</v>
      </c>
      <c r="G26">
        <v>2.24614</v>
      </c>
      <c r="H26">
        <v>18.944900000000001</v>
      </c>
      <c r="I26">
        <f t="shared" si="0"/>
        <v>8.4344252807037847</v>
      </c>
      <c r="J26">
        <f t="shared" si="1"/>
        <v>1.0543031600879731</v>
      </c>
    </row>
    <row r="27" spans="1:10">
      <c r="A27" t="s">
        <v>11</v>
      </c>
      <c r="B27">
        <v>8</v>
      </c>
      <c r="C27">
        <v>1000</v>
      </c>
      <c r="D27">
        <v>1000</v>
      </c>
      <c r="E27">
        <v>1000</v>
      </c>
      <c r="F27">
        <v>9.6973199999999995</v>
      </c>
      <c r="G27">
        <v>9.6973199999999995</v>
      </c>
      <c r="H27">
        <v>72.347399999999993</v>
      </c>
      <c r="I27">
        <f t="shared" si="0"/>
        <v>7.4605561124104387</v>
      </c>
      <c r="J27">
        <f t="shared" si="1"/>
        <v>0.93256951405130484</v>
      </c>
    </row>
    <row r="28" spans="1:10">
      <c r="A28" t="s">
        <v>11</v>
      </c>
      <c r="B28">
        <v>8</v>
      </c>
      <c r="C28">
        <v>1000</v>
      </c>
      <c r="D28">
        <v>2000</v>
      </c>
      <c r="E28">
        <v>2000</v>
      </c>
      <c r="F28">
        <v>38.018300000000004</v>
      </c>
      <c r="G28">
        <v>38.018300000000004</v>
      </c>
      <c r="H28">
        <v>270.108</v>
      </c>
      <c r="I28">
        <f t="shared" si="0"/>
        <v>7.1046837970135428</v>
      </c>
      <c r="J28">
        <f t="shared" si="1"/>
        <v>0.88808547462669285</v>
      </c>
    </row>
    <row r="29" spans="1:10">
      <c r="A29" t="s">
        <v>11</v>
      </c>
      <c r="B29">
        <v>8</v>
      </c>
      <c r="C29">
        <v>1000</v>
      </c>
      <c r="D29">
        <v>5000</v>
      </c>
      <c r="E29">
        <v>5000</v>
      </c>
      <c r="F29">
        <v>245.98400000000001</v>
      </c>
      <c r="G29">
        <v>245.98400000000001</v>
      </c>
      <c r="H29">
        <v>1820.39</v>
      </c>
      <c r="I29">
        <f t="shared" si="0"/>
        <v>7.4004406790685575</v>
      </c>
      <c r="J29">
        <f t="shared" si="1"/>
        <v>0.92505508488356969</v>
      </c>
    </row>
    <row r="30" spans="1:10">
      <c r="A30" t="s">
        <v>11</v>
      </c>
      <c r="B30">
        <v>8</v>
      </c>
      <c r="C30">
        <v>1000</v>
      </c>
      <c r="D30">
        <v>10000</v>
      </c>
      <c r="E30">
        <v>10000</v>
      </c>
      <c r="F30">
        <v>758.09299999999996</v>
      </c>
      <c r="G30">
        <v>758.09299999999996</v>
      </c>
      <c r="H30">
        <v>7118.34</v>
      </c>
      <c r="I30">
        <f t="shared" si="0"/>
        <v>9.3897978216392985</v>
      </c>
      <c r="J30">
        <f t="shared" si="1"/>
        <v>1.1737247277049123</v>
      </c>
    </row>
    <row r="31" spans="1:10">
      <c r="A31" t="s">
        <v>11</v>
      </c>
      <c r="B31">
        <v>8</v>
      </c>
      <c r="C31">
        <v>1000</v>
      </c>
      <c r="D31">
        <v>20000</v>
      </c>
      <c r="E31">
        <v>20000</v>
      </c>
      <c r="F31">
        <v>2417.1999999999998</v>
      </c>
      <c r="G31">
        <v>2417.1999999999998</v>
      </c>
      <c r="H31">
        <v>27532</v>
      </c>
      <c r="I31">
        <f t="shared" si="0"/>
        <v>11.390038060565946</v>
      </c>
      <c r="J31">
        <f t="shared" si="1"/>
        <v>1.4237547575707432</v>
      </c>
    </row>
    <row r="32" spans="1:10">
      <c r="A32" t="s">
        <v>11</v>
      </c>
      <c r="B32">
        <v>16</v>
      </c>
      <c r="C32">
        <v>1000</v>
      </c>
      <c r="D32">
        <v>500</v>
      </c>
      <c r="E32">
        <v>500</v>
      </c>
      <c r="F32">
        <v>1.43482</v>
      </c>
      <c r="G32">
        <v>1.43482</v>
      </c>
      <c r="H32">
        <v>18.944900000000001</v>
      </c>
      <c r="I32">
        <f t="shared" si="0"/>
        <v>13.203677116293333</v>
      </c>
      <c r="J32">
        <f t="shared" si="1"/>
        <v>0.82522981976833332</v>
      </c>
    </row>
    <row r="33" spans="1:10">
      <c r="A33" t="s">
        <v>11</v>
      </c>
      <c r="B33">
        <v>16</v>
      </c>
      <c r="C33">
        <v>1000</v>
      </c>
      <c r="D33">
        <v>1000</v>
      </c>
      <c r="E33">
        <v>1000</v>
      </c>
      <c r="F33">
        <v>5.1630900000000004</v>
      </c>
      <c r="G33">
        <v>5.1630900000000004</v>
      </c>
      <c r="H33">
        <v>72.347399999999993</v>
      </c>
      <c r="I33">
        <f t="shared" si="0"/>
        <v>14.01242279332725</v>
      </c>
      <c r="J33">
        <f t="shared" si="1"/>
        <v>0.87577642458295313</v>
      </c>
    </row>
    <row r="34" spans="1:10">
      <c r="A34" t="s">
        <v>11</v>
      </c>
      <c r="B34">
        <v>16</v>
      </c>
      <c r="C34">
        <v>1000</v>
      </c>
      <c r="D34">
        <v>2000</v>
      </c>
      <c r="E34">
        <v>2000</v>
      </c>
      <c r="F34">
        <v>14.9361</v>
      </c>
      <c r="G34">
        <v>14.9361</v>
      </c>
      <c r="H34">
        <v>270.108</v>
      </c>
      <c r="I34">
        <f t="shared" si="0"/>
        <v>18.084238857533091</v>
      </c>
      <c r="J34">
        <f t="shared" si="1"/>
        <v>1.1302649285958182</v>
      </c>
    </row>
    <row r="35" spans="1:10">
      <c r="A35" t="s">
        <v>11</v>
      </c>
      <c r="B35">
        <v>16</v>
      </c>
      <c r="C35">
        <v>1000</v>
      </c>
      <c r="D35">
        <v>5000</v>
      </c>
      <c r="E35">
        <v>5000</v>
      </c>
      <c r="F35">
        <v>105.21299999999999</v>
      </c>
      <c r="G35">
        <v>105.21299999999999</v>
      </c>
      <c r="H35">
        <v>1820.39</v>
      </c>
      <c r="I35">
        <f t="shared" si="0"/>
        <v>17.301949378879037</v>
      </c>
      <c r="J35">
        <f t="shared" si="1"/>
        <v>1.0813718361799398</v>
      </c>
    </row>
    <row r="36" spans="1:10">
      <c r="A36" t="s">
        <v>11</v>
      </c>
      <c r="B36">
        <v>16</v>
      </c>
      <c r="C36">
        <v>1000</v>
      </c>
      <c r="D36">
        <v>10000</v>
      </c>
      <c r="E36">
        <v>10000</v>
      </c>
      <c r="F36">
        <v>397.67700000000002</v>
      </c>
      <c r="G36">
        <v>397.67700000000002</v>
      </c>
      <c r="H36">
        <v>7118.34</v>
      </c>
      <c r="I36">
        <f t="shared" si="0"/>
        <v>17.899803106541238</v>
      </c>
      <c r="J36">
        <f t="shared" si="1"/>
        <v>1.1187376941588274</v>
      </c>
    </row>
    <row r="37" spans="1:10">
      <c r="A37" t="s">
        <v>11</v>
      </c>
      <c r="B37">
        <v>16</v>
      </c>
      <c r="C37">
        <v>1000</v>
      </c>
      <c r="D37">
        <v>20000</v>
      </c>
      <c r="E37">
        <v>20000</v>
      </c>
      <c r="F37">
        <v>1428.63</v>
      </c>
      <c r="G37">
        <v>1428.63</v>
      </c>
      <c r="H37">
        <v>27532</v>
      </c>
      <c r="I37">
        <f t="shared" si="0"/>
        <v>19.271609863995575</v>
      </c>
      <c r="J37">
        <f>IF($A37="OpenMP", I37 / $B37, "")</f>
        <v>1.2044756164997235</v>
      </c>
    </row>
    <row r="38" spans="1:10">
      <c r="A38" t="s">
        <v>12</v>
      </c>
      <c r="B38">
        <v>1</v>
      </c>
      <c r="C38">
        <v>1000</v>
      </c>
      <c r="D38">
        <v>500</v>
      </c>
      <c r="E38">
        <v>500</v>
      </c>
      <c r="F38">
        <v>3.06264</v>
      </c>
      <c r="G38">
        <v>3.06264</v>
      </c>
      <c r="H38">
        <v>3.06264</v>
      </c>
      <c r="I38">
        <f>IF($A38="MPI", $H38 / $F38, "")</f>
        <v>1</v>
      </c>
      <c r="J38">
        <f>IF($A38="MPI", I38 / $B38, "")</f>
        <v>1</v>
      </c>
    </row>
    <row r="39" spans="1:10">
      <c r="A39" t="s">
        <v>12</v>
      </c>
      <c r="B39">
        <v>1</v>
      </c>
      <c r="C39">
        <v>1000</v>
      </c>
      <c r="D39">
        <v>1000</v>
      </c>
      <c r="E39">
        <v>1000</v>
      </c>
      <c r="F39">
        <v>13.9963</v>
      </c>
      <c r="G39">
        <v>13.9963</v>
      </c>
      <c r="H39">
        <v>13.9963</v>
      </c>
      <c r="I39">
        <f t="shared" ref="I39:I85" si="2">IF($A39="MPI", $H39 / $F39, "")</f>
        <v>1</v>
      </c>
      <c r="J39">
        <f t="shared" ref="J39:J85" si="3">IF($A39="MPI", I39 / $B39, "")</f>
        <v>1</v>
      </c>
    </row>
    <row r="40" spans="1:10">
      <c r="A40" t="s">
        <v>12</v>
      </c>
      <c r="B40">
        <v>1</v>
      </c>
      <c r="C40">
        <v>1000</v>
      </c>
      <c r="D40">
        <v>2000</v>
      </c>
      <c r="E40">
        <v>2000</v>
      </c>
      <c r="F40">
        <v>71.388900000000007</v>
      </c>
      <c r="G40">
        <v>71.388900000000007</v>
      </c>
      <c r="H40">
        <v>71.388900000000007</v>
      </c>
      <c r="I40">
        <f t="shared" si="2"/>
        <v>1</v>
      </c>
      <c r="J40">
        <f t="shared" si="3"/>
        <v>1</v>
      </c>
    </row>
    <row r="41" spans="1:10">
      <c r="A41" t="s">
        <v>12</v>
      </c>
      <c r="B41">
        <v>1</v>
      </c>
      <c r="C41">
        <v>1000</v>
      </c>
      <c r="D41">
        <v>5000</v>
      </c>
      <c r="E41">
        <v>5000</v>
      </c>
      <c r="F41">
        <v>475.51400000000001</v>
      </c>
      <c r="G41">
        <v>475.51400000000001</v>
      </c>
      <c r="H41">
        <v>475.51400000000001</v>
      </c>
      <c r="I41">
        <f t="shared" si="2"/>
        <v>1</v>
      </c>
      <c r="J41">
        <f t="shared" si="3"/>
        <v>1</v>
      </c>
    </row>
    <row r="42" spans="1:10">
      <c r="A42" t="s">
        <v>12</v>
      </c>
      <c r="B42">
        <v>1</v>
      </c>
      <c r="C42">
        <v>1000</v>
      </c>
      <c r="D42">
        <v>10000</v>
      </c>
      <c r="E42">
        <v>10000</v>
      </c>
      <c r="F42">
        <v>1388.71</v>
      </c>
      <c r="G42">
        <v>1388.71</v>
      </c>
      <c r="H42">
        <v>1388.71</v>
      </c>
      <c r="I42">
        <f t="shared" si="2"/>
        <v>1</v>
      </c>
      <c r="J42">
        <f t="shared" si="3"/>
        <v>1</v>
      </c>
    </row>
    <row r="43" spans="1:10">
      <c r="A43" t="s">
        <v>12</v>
      </c>
      <c r="B43">
        <v>1</v>
      </c>
      <c r="C43">
        <v>1000</v>
      </c>
      <c r="D43">
        <v>20000</v>
      </c>
      <c r="E43">
        <v>20000</v>
      </c>
      <c r="F43">
        <v>7753.75</v>
      </c>
      <c r="G43">
        <v>7753.75</v>
      </c>
      <c r="H43">
        <v>7753.75</v>
      </c>
      <c r="I43">
        <f t="shared" si="2"/>
        <v>1</v>
      </c>
      <c r="J43">
        <f t="shared" si="3"/>
        <v>1</v>
      </c>
    </row>
    <row r="44" spans="1:10">
      <c r="A44" t="s">
        <v>12</v>
      </c>
      <c r="B44">
        <v>2</v>
      </c>
      <c r="C44">
        <v>1000</v>
      </c>
      <c r="D44">
        <v>500</v>
      </c>
      <c r="E44">
        <v>500</v>
      </c>
      <c r="F44">
        <v>3.5849199999999999</v>
      </c>
      <c r="G44">
        <v>3.5849199999999999</v>
      </c>
      <c r="H44">
        <v>3.06264</v>
      </c>
      <c r="I44">
        <f t="shared" si="2"/>
        <v>0.85431195117324799</v>
      </c>
      <c r="J44">
        <f t="shared" si="3"/>
        <v>0.42715597558662399</v>
      </c>
    </row>
    <row r="45" spans="1:10">
      <c r="A45" t="s">
        <v>12</v>
      </c>
      <c r="B45">
        <v>2</v>
      </c>
      <c r="C45">
        <v>1000</v>
      </c>
      <c r="D45">
        <v>1000</v>
      </c>
      <c r="E45">
        <v>1000</v>
      </c>
      <c r="F45">
        <v>10.283799999999999</v>
      </c>
      <c r="G45">
        <v>10.283799999999999</v>
      </c>
      <c r="H45">
        <v>13.9963</v>
      </c>
      <c r="I45">
        <f t="shared" si="2"/>
        <v>1.3610046869834109</v>
      </c>
      <c r="J45">
        <f t="shared" si="3"/>
        <v>0.68050234349170546</v>
      </c>
    </row>
    <row r="46" spans="1:10">
      <c r="A46" t="s">
        <v>12</v>
      </c>
      <c r="B46">
        <v>2</v>
      </c>
      <c r="C46">
        <v>1000</v>
      </c>
      <c r="D46">
        <v>2000</v>
      </c>
      <c r="E46">
        <v>2000</v>
      </c>
      <c r="F46">
        <v>39.277299999999997</v>
      </c>
      <c r="G46">
        <v>39.277299999999997</v>
      </c>
      <c r="H46">
        <v>71.388900000000007</v>
      </c>
      <c r="I46">
        <f t="shared" si="2"/>
        <v>1.8175612885814456</v>
      </c>
      <c r="J46">
        <f t="shared" si="3"/>
        <v>0.90878064429072281</v>
      </c>
    </row>
    <row r="47" spans="1:10">
      <c r="A47" t="s">
        <v>12</v>
      </c>
      <c r="B47">
        <v>2</v>
      </c>
      <c r="C47">
        <v>1000</v>
      </c>
      <c r="D47">
        <v>5000</v>
      </c>
      <c r="E47">
        <v>5000</v>
      </c>
      <c r="F47">
        <v>255.64599999999999</v>
      </c>
      <c r="G47">
        <v>255.64599999999999</v>
      </c>
      <c r="H47">
        <v>475.51400000000001</v>
      </c>
      <c r="I47">
        <f t="shared" si="2"/>
        <v>1.8600486610390932</v>
      </c>
      <c r="J47">
        <f t="shared" si="3"/>
        <v>0.93002433051954658</v>
      </c>
    </row>
    <row r="48" spans="1:10">
      <c r="A48" t="s">
        <v>12</v>
      </c>
      <c r="B48">
        <v>2</v>
      </c>
      <c r="C48">
        <v>1000</v>
      </c>
      <c r="D48">
        <v>10000</v>
      </c>
      <c r="E48">
        <v>10000</v>
      </c>
      <c r="F48">
        <v>1178.25</v>
      </c>
      <c r="G48">
        <v>1178.25</v>
      </c>
      <c r="H48">
        <v>1388.71</v>
      </c>
      <c r="I48">
        <f t="shared" si="2"/>
        <v>1.1786208359855719</v>
      </c>
      <c r="J48">
        <f t="shared" si="3"/>
        <v>0.58931041799278594</v>
      </c>
    </row>
    <row r="49" spans="1:10">
      <c r="A49" t="s">
        <v>12</v>
      </c>
      <c r="B49">
        <v>2</v>
      </c>
      <c r="C49">
        <v>1000</v>
      </c>
      <c r="D49">
        <v>20000</v>
      </c>
      <c r="E49">
        <v>20000</v>
      </c>
      <c r="F49">
        <v>4568.22</v>
      </c>
      <c r="G49">
        <v>4568.22</v>
      </c>
      <c r="H49">
        <v>7753.75</v>
      </c>
      <c r="I49">
        <f t="shared" si="2"/>
        <v>1.6973241218680359</v>
      </c>
      <c r="J49">
        <f t="shared" si="3"/>
        <v>0.84866206093401797</v>
      </c>
    </row>
    <row r="50" spans="1:10">
      <c r="A50" t="s">
        <v>12</v>
      </c>
      <c r="B50">
        <v>4</v>
      </c>
      <c r="C50">
        <v>1000</v>
      </c>
      <c r="D50">
        <v>500</v>
      </c>
      <c r="E50">
        <v>500</v>
      </c>
      <c r="F50">
        <v>2.0916700000000001</v>
      </c>
      <c r="G50">
        <v>2.0916700000000001</v>
      </c>
      <c r="H50">
        <v>3.06264</v>
      </c>
      <c r="I50">
        <f t="shared" si="2"/>
        <v>1.4642080251664937</v>
      </c>
      <c r="J50">
        <f t="shared" si="3"/>
        <v>0.36605200629162343</v>
      </c>
    </row>
    <row r="51" spans="1:10">
      <c r="A51" t="s">
        <v>12</v>
      </c>
      <c r="B51">
        <v>4</v>
      </c>
      <c r="C51">
        <v>1000</v>
      </c>
      <c r="D51">
        <v>1000</v>
      </c>
      <c r="E51">
        <v>1000</v>
      </c>
      <c r="F51">
        <v>6.5502099999999999</v>
      </c>
      <c r="G51">
        <v>6.5502099999999999</v>
      </c>
      <c r="H51">
        <v>13.9963</v>
      </c>
      <c r="I51">
        <f t="shared" si="2"/>
        <v>2.1367711874886455</v>
      </c>
      <c r="J51">
        <f t="shared" si="3"/>
        <v>0.53419279687216137</v>
      </c>
    </row>
    <row r="52" spans="1:10">
      <c r="A52" t="s">
        <v>12</v>
      </c>
      <c r="B52">
        <v>4</v>
      </c>
      <c r="C52">
        <v>1000</v>
      </c>
      <c r="D52">
        <v>2000</v>
      </c>
      <c r="E52">
        <v>2000</v>
      </c>
      <c r="F52">
        <v>32.815600000000003</v>
      </c>
      <c r="G52">
        <v>32.815600000000003</v>
      </c>
      <c r="H52">
        <v>71.388900000000007</v>
      </c>
      <c r="I52">
        <f t="shared" si="2"/>
        <v>2.175456185472763</v>
      </c>
      <c r="J52">
        <f t="shared" si="3"/>
        <v>0.54386404636819075</v>
      </c>
    </row>
    <row r="53" spans="1:10">
      <c r="A53" t="s">
        <v>12</v>
      </c>
      <c r="B53">
        <v>4</v>
      </c>
      <c r="C53">
        <v>1000</v>
      </c>
      <c r="D53">
        <v>5000</v>
      </c>
      <c r="E53">
        <v>5000</v>
      </c>
      <c r="F53">
        <v>186.316</v>
      </c>
      <c r="G53">
        <v>186.316</v>
      </c>
      <c r="H53">
        <v>475.51400000000001</v>
      </c>
      <c r="I53">
        <f t="shared" si="2"/>
        <v>2.5521909014792072</v>
      </c>
      <c r="J53">
        <f t="shared" si="3"/>
        <v>0.63804772536980181</v>
      </c>
    </row>
    <row r="54" spans="1:10">
      <c r="A54" t="s">
        <v>12</v>
      </c>
      <c r="B54">
        <v>4</v>
      </c>
      <c r="C54">
        <v>1000</v>
      </c>
      <c r="D54">
        <v>10000</v>
      </c>
      <c r="E54">
        <v>10000</v>
      </c>
      <c r="F54">
        <v>798.02099999999996</v>
      </c>
      <c r="G54">
        <v>798.02099999999996</v>
      </c>
      <c r="H54">
        <v>1388.71</v>
      </c>
      <c r="I54">
        <f t="shared" si="2"/>
        <v>1.7401923007038664</v>
      </c>
      <c r="J54">
        <f t="shared" si="3"/>
        <v>0.43504807517596661</v>
      </c>
    </row>
    <row r="55" spans="1:10">
      <c r="A55" t="s">
        <v>12</v>
      </c>
      <c r="B55">
        <v>4</v>
      </c>
      <c r="C55">
        <v>1000</v>
      </c>
      <c r="D55">
        <v>20000</v>
      </c>
      <c r="E55">
        <v>20000</v>
      </c>
      <c r="F55">
        <v>3081.83</v>
      </c>
      <c r="G55">
        <v>3081.83</v>
      </c>
      <c r="H55">
        <v>7753.75</v>
      </c>
      <c r="I55">
        <f t="shared" si="2"/>
        <v>2.5159564284856724</v>
      </c>
      <c r="J55">
        <f t="shared" si="3"/>
        <v>0.62898910712141809</v>
      </c>
    </row>
    <row r="56" spans="1:10">
      <c r="A56" t="s">
        <v>12</v>
      </c>
      <c r="B56">
        <v>8</v>
      </c>
      <c r="C56">
        <v>1000</v>
      </c>
      <c r="D56">
        <v>500</v>
      </c>
      <c r="E56">
        <v>500</v>
      </c>
      <c r="F56">
        <v>0.64634800000000003</v>
      </c>
      <c r="G56">
        <v>0.64634800000000003</v>
      </c>
      <c r="H56">
        <v>3.06264</v>
      </c>
      <c r="I56">
        <f t="shared" si="2"/>
        <v>4.7383762307611379</v>
      </c>
      <c r="J56">
        <f t="shared" si="3"/>
        <v>0.59229702884514224</v>
      </c>
    </row>
    <row r="57" spans="1:10">
      <c r="A57" t="s">
        <v>12</v>
      </c>
      <c r="B57">
        <v>8</v>
      </c>
      <c r="C57">
        <v>1000</v>
      </c>
      <c r="D57">
        <v>1000</v>
      </c>
      <c r="E57">
        <v>1000</v>
      </c>
      <c r="F57">
        <v>4.6375400000000004</v>
      </c>
      <c r="G57">
        <v>4.6375400000000004</v>
      </c>
      <c r="H57">
        <v>13.9963</v>
      </c>
      <c r="I57">
        <f t="shared" si="2"/>
        <v>3.0180440492157476</v>
      </c>
      <c r="J57">
        <f t="shared" si="3"/>
        <v>0.37725550615196846</v>
      </c>
    </row>
    <row r="58" spans="1:10">
      <c r="A58" t="s">
        <v>12</v>
      </c>
      <c r="B58">
        <v>8</v>
      </c>
      <c r="C58">
        <v>1000</v>
      </c>
      <c r="D58">
        <v>2000</v>
      </c>
      <c r="E58">
        <v>2000</v>
      </c>
      <c r="F58">
        <v>17.599599999999999</v>
      </c>
      <c r="G58">
        <v>17.599599999999999</v>
      </c>
      <c r="H58">
        <v>71.388900000000007</v>
      </c>
      <c r="I58">
        <f t="shared" si="2"/>
        <v>4.0562796881747323</v>
      </c>
      <c r="J58">
        <f t="shared" si="3"/>
        <v>0.50703496102184153</v>
      </c>
    </row>
    <row r="59" spans="1:10">
      <c r="A59" t="s">
        <v>12</v>
      </c>
      <c r="B59">
        <v>8</v>
      </c>
      <c r="C59">
        <v>1000</v>
      </c>
      <c r="D59">
        <v>5000</v>
      </c>
      <c r="E59">
        <v>5000</v>
      </c>
      <c r="F59">
        <v>90.617099999999994</v>
      </c>
      <c r="G59">
        <v>90.617099999999994</v>
      </c>
      <c r="H59">
        <v>475.51400000000001</v>
      </c>
      <c r="I59">
        <f t="shared" si="2"/>
        <v>5.2475084724627035</v>
      </c>
      <c r="J59">
        <f t="shared" si="3"/>
        <v>0.65593855905783793</v>
      </c>
    </row>
    <row r="60" spans="1:10">
      <c r="A60" t="s">
        <v>12</v>
      </c>
      <c r="B60">
        <v>8</v>
      </c>
      <c r="C60">
        <v>1000</v>
      </c>
      <c r="D60">
        <v>10000</v>
      </c>
      <c r="E60">
        <v>10000</v>
      </c>
      <c r="F60">
        <v>486.46</v>
      </c>
      <c r="G60">
        <v>486.46</v>
      </c>
      <c r="H60">
        <v>1388.71</v>
      </c>
      <c r="I60">
        <f t="shared" si="2"/>
        <v>2.854725979525552</v>
      </c>
      <c r="J60">
        <f t="shared" si="3"/>
        <v>0.35684074744069399</v>
      </c>
    </row>
    <row r="61" spans="1:10">
      <c r="A61" t="s">
        <v>12</v>
      </c>
      <c r="B61">
        <v>8</v>
      </c>
      <c r="C61">
        <v>1000</v>
      </c>
      <c r="D61">
        <v>20000</v>
      </c>
      <c r="E61">
        <v>20000</v>
      </c>
      <c r="F61">
        <v>1828.16</v>
      </c>
      <c r="G61">
        <v>1828.16</v>
      </c>
      <c r="H61">
        <v>7753.75</v>
      </c>
      <c r="I61">
        <f t="shared" si="2"/>
        <v>4.2412863206721507</v>
      </c>
      <c r="J61">
        <f t="shared" si="3"/>
        <v>0.53016079008401884</v>
      </c>
    </row>
    <row r="62" spans="1:10">
      <c r="A62" t="s">
        <v>12</v>
      </c>
      <c r="B62">
        <v>16</v>
      </c>
      <c r="C62">
        <v>1000</v>
      </c>
      <c r="D62">
        <v>500</v>
      </c>
      <c r="E62">
        <v>500</v>
      </c>
      <c r="F62">
        <v>0.55147400000000002</v>
      </c>
      <c r="G62">
        <v>0.55147400000000002</v>
      </c>
      <c r="H62">
        <v>3.06264</v>
      </c>
      <c r="I62">
        <f t="shared" si="2"/>
        <v>5.5535528420197506</v>
      </c>
      <c r="J62">
        <f t="shared" si="3"/>
        <v>0.34709705262623441</v>
      </c>
    </row>
    <row r="63" spans="1:10">
      <c r="A63" t="s">
        <v>12</v>
      </c>
      <c r="B63">
        <v>16</v>
      </c>
      <c r="C63">
        <v>1000</v>
      </c>
      <c r="D63">
        <v>1000</v>
      </c>
      <c r="E63">
        <v>1000</v>
      </c>
      <c r="F63">
        <v>2.0613999999999999</v>
      </c>
      <c r="G63">
        <v>2.0613999999999999</v>
      </c>
      <c r="H63">
        <v>13.9963</v>
      </c>
      <c r="I63">
        <f t="shared" si="2"/>
        <v>6.7897060250315322</v>
      </c>
      <c r="J63">
        <f t="shared" si="3"/>
        <v>0.42435662656447076</v>
      </c>
    </row>
    <row r="64" spans="1:10">
      <c r="A64" t="s">
        <v>12</v>
      </c>
      <c r="B64">
        <v>16</v>
      </c>
      <c r="C64">
        <v>1000</v>
      </c>
      <c r="D64">
        <v>2000</v>
      </c>
      <c r="E64">
        <v>2000</v>
      </c>
      <c r="F64">
        <v>8.0747400000000003</v>
      </c>
      <c r="G64">
        <v>8.0747400000000003</v>
      </c>
      <c r="H64">
        <v>71.388900000000007</v>
      </c>
      <c r="I64">
        <f t="shared" si="2"/>
        <v>8.8410153144249843</v>
      </c>
      <c r="J64">
        <f t="shared" si="3"/>
        <v>0.55256345715156152</v>
      </c>
    </row>
    <row r="65" spans="1:28" ht="13.5" customHeight="1">
      <c r="A65" t="s">
        <v>12</v>
      </c>
      <c r="B65">
        <v>16</v>
      </c>
      <c r="C65">
        <v>1000</v>
      </c>
      <c r="D65">
        <v>5000</v>
      </c>
      <c r="E65">
        <v>5000</v>
      </c>
      <c r="F65">
        <v>45.692300000000003</v>
      </c>
      <c r="G65">
        <v>45.692300000000003</v>
      </c>
      <c r="H65">
        <v>475.51400000000001</v>
      </c>
      <c r="I65">
        <f t="shared" si="2"/>
        <v>10.40687380587101</v>
      </c>
      <c r="J65">
        <f t="shared" si="3"/>
        <v>0.65042961286693812</v>
      </c>
      <c r="M65" s="3" t="s">
        <v>13</v>
      </c>
      <c r="N65" s="3" t="s">
        <v>14</v>
      </c>
      <c r="O65" s="3" t="s">
        <v>15</v>
      </c>
      <c r="P65" s="3" t="s">
        <v>16</v>
      </c>
      <c r="Q65" s="3" t="s">
        <v>8</v>
      </c>
      <c r="R65" s="3" t="s">
        <v>9</v>
      </c>
    </row>
    <row r="66" spans="1:28">
      <c r="A66" t="s">
        <v>12</v>
      </c>
      <c r="B66">
        <v>16</v>
      </c>
      <c r="C66">
        <v>1000</v>
      </c>
      <c r="D66">
        <v>10000</v>
      </c>
      <c r="E66">
        <v>10000</v>
      </c>
      <c r="F66">
        <v>177.304</v>
      </c>
      <c r="G66">
        <v>177.304</v>
      </c>
      <c r="H66">
        <v>1388.71</v>
      </c>
      <c r="I66">
        <f t="shared" si="2"/>
        <v>7.832367008076524</v>
      </c>
      <c r="J66">
        <f t="shared" si="3"/>
        <v>0.48952293800478275</v>
      </c>
      <c r="M66" s="1">
        <v>500</v>
      </c>
      <c r="N66" s="1">
        <v>10.1472</v>
      </c>
      <c r="O66" s="1">
        <v>1.43482</v>
      </c>
      <c r="P66" s="2" t="s">
        <v>17</v>
      </c>
      <c r="Q66" s="1">
        <v>13.2</v>
      </c>
      <c r="R66" s="1">
        <v>0.82499999999999996</v>
      </c>
    </row>
    <row r="67" spans="1:28">
      <c r="A67" t="s">
        <v>12</v>
      </c>
      <c r="B67">
        <v>16</v>
      </c>
      <c r="C67">
        <v>1000</v>
      </c>
      <c r="D67">
        <v>20000</v>
      </c>
      <c r="E67">
        <v>20000</v>
      </c>
      <c r="F67">
        <v>661.64599999999996</v>
      </c>
      <c r="G67">
        <v>661.64599999999996</v>
      </c>
      <c r="H67">
        <v>7753.75</v>
      </c>
      <c r="I67">
        <f t="shared" si="2"/>
        <v>11.718879884409489</v>
      </c>
      <c r="J67">
        <f t="shared" si="3"/>
        <v>0.73242999277559306</v>
      </c>
      <c r="M67" s="1">
        <v>1000</v>
      </c>
      <c r="N67" s="1">
        <v>37.576099999999997</v>
      </c>
      <c r="O67" s="1">
        <v>5.1630900000000004</v>
      </c>
      <c r="P67" s="2" t="s">
        <v>18</v>
      </c>
      <c r="Q67" s="1">
        <v>14.01</v>
      </c>
      <c r="R67" s="1">
        <v>0.876</v>
      </c>
    </row>
    <row r="68" spans="1:28">
      <c r="A68" s="4" t="s">
        <v>12</v>
      </c>
      <c r="B68" s="4">
        <v>32</v>
      </c>
      <c r="C68" s="4">
        <v>1000</v>
      </c>
      <c r="D68" s="4">
        <v>500</v>
      </c>
      <c r="E68" s="4">
        <v>500</v>
      </c>
      <c r="F68" s="4">
        <v>0.34568100000000002</v>
      </c>
      <c r="G68" s="4">
        <v>0.34568100000000002</v>
      </c>
      <c r="H68" s="4">
        <v>3.06264</v>
      </c>
      <c r="I68" s="4">
        <f t="shared" si="2"/>
        <v>8.8597290565579243</v>
      </c>
      <c r="J68" s="4">
        <f t="shared" si="3"/>
        <v>0.27686653301743513</v>
      </c>
      <c r="M68" s="1">
        <v>2000</v>
      </c>
      <c r="N68" s="1">
        <v>153.69399999999999</v>
      </c>
      <c r="O68" s="1">
        <v>14.9361</v>
      </c>
      <c r="P68" s="2" t="s">
        <v>19</v>
      </c>
      <c r="Q68" s="1">
        <v>18.079999999999998</v>
      </c>
      <c r="R68" s="1">
        <v>1.1299999999999999</v>
      </c>
    </row>
    <row r="69" spans="1:28">
      <c r="A69" s="4" t="s">
        <v>12</v>
      </c>
      <c r="B69" s="4">
        <v>32</v>
      </c>
      <c r="C69" s="4">
        <v>1000</v>
      </c>
      <c r="D69" s="4">
        <v>1000</v>
      </c>
      <c r="E69" s="4">
        <v>1000</v>
      </c>
      <c r="F69" s="4">
        <v>1.34182</v>
      </c>
      <c r="G69" s="4">
        <v>1.34182</v>
      </c>
      <c r="H69" s="4">
        <v>13.9963</v>
      </c>
      <c r="I69" s="4">
        <f t="shared" si="2"/>
        <v>10.43083274954912</v>
      </c>
      <c r="J69" s="4">
        <f t="shared" si="3"/>
        <v>0.32596352342341001</v>
      </c>
      <c r="M69" s="1">
        <v>5000</v>
      </c>
      <c r="N69" s="1">
        <v>984.98099999999999</v>
      </c>
      <c r="O69" s="1">
        <v>105.21299999999999</v>
      </c>
      <c r="P69" s="2" t="s">
        <v>20</v>
      </c>
      <c r="Q69" s="1">
        <v>17.3</v>
      </c>
      <c r="R69" s="1">
        <v>1.081</v>
      </c>
    </row>
    <row r="70" spans="1:28">
      <c r="A70" s="4" t="s">
        <v>12</v>
      </c>
      <c r="B70" s="4">
        <v>32</v>
      </c>
      <c r="C70" s="4">
        <v>1000</v>
      </c>
      <c r="D70" s="4">
        <v>2000</v>
      </c>
      <c r="E70" s="4">
        <v>2000</v>
      </c>
      <c r="F70" s="4">
        <v>5.2668299999999997</v>
      </c>
      <c r="G70" s="4">
        <v>5.2668299999999997</v>
      </c>
      <c r="H70" s="4">
        <v>71.388900000000007</v>
      </c>
      <c r="I70" s="4">
        <f t="shared" si="2"/>
        <v>13.554434071348423</v>
      </c>
      <c r="J70" s="4">
        <f t="shared" si="3"/>
        <v>0.42357606472963821</v>
      </c>
      <c r="M70" s="1">
        <v>10000</v>
      </c>
      <c r="N70" s="1">
        <v>3715.41</v>
      </c>
      <c r="O70" s="1">
        <v>397.67700000000002</v>
      </c>
      <c r="P70" s="2" t="s">
        <v>21</v>
      </c>
      <c r="Q70" s="1">
        <v>17.899999999999999</v>
      </c>
      <c r="R70" s="1">
        <v>1.119</v>
      </c>
    </row>
    <row r="71" spans="1:28">
      <c r="A71" s="4" t="s">
        <v>12</v>
      </c>
      <c r="B71" s="4">
        <v>32</v>
      </c>
      <c r="C71" s="4">
        <v>1000</v>
      </c>
      <c r="D71" s="4">
        <v>5000</v>
      </c>
      <c r="E71" s="4">
        <v>5000</v>
      </c>
      <c r="F71" s="4">
        <v>31.087900000000001</v>
      </c>
      <c r="G71" s="4">
        <v>31.087900000000001</v>
      </c>
      <c r="H71" s="4">
        <v>475.51400000000001</v>
      </c>
      <c r="I71" s="4">
        <f t="shared" si="2"/>
        <v>15.295790323566404</v>
      </c>
      <c r="J71" s="4">
        <f t="shared" si="3"/>
        <v>0.47799344761145013</v>
      </c>
      <c r="M71" s="1">
        <v>20000</v>
      </c>
      <c r="N71" s="1">
        <v>15741.2</v>
      </c>
      <c r="O71" s="1">
        <v>1428.63</v>
      </c>
      <c r="P71" s="2" t="s">
        <v>22</v>
      </c>
      <c r="Q71" s="1">
        <v>19.27</v>
      </c>
      <c r="R71" s="1">
        <v>1.204</v>
      </c>
    </row>
    <row r="72" spans="1:28">
      <c r="A72" s="4" t="s">
        <v>12</v>
      </c>
      <c r="B72" s="4">
        <v>32</v>
      </c>
      <c r="C72" s="4">
        <v>1000</v>
      </c>
      <c r="D72" s="4">
        <v>10000</v>
      </c>
      <c r="E72" s="4">
        <v>10000</v>
      </c>
      <c r="F72" s="4">
        <v>122.249</v>
      </c>
      <c r="G72" s="4">
        <v>122.249</v>
      </c>
      <c r="H72" s="4">
        <v>1388.71</v>
      </c>
      <c r="I72" s="4">
        <f t="shared" si="2"/>
        <v>11.359683923794879</v>
      </c>
      <c r="J72" s="4">
        <f t="shared" si="3"/>
        <v>0.35499012261858998</v>
      </c>
    </row>
    <row r="73" spans="1:28">
      <c r="A73" s="4" t="s">
        <v>12</v>
      </c>
      <c r="B73" s="4">
        <v>32</v>
      </c>
      <c r="C73" s="4">
        <v>1000</v>
      </c>
      <c r="D73" s="4">
        <v>20000</v>
      </c>
      <c r="E73" s="4">
        <v>20000</v>
      </c>
      <c r="F73" s="4">
        <v>437.13</v>
      </c>
      <c r="G73" s="4">
        <v>437.13</v>
      </c>
      <c r="H73" s="4">
        <v>7753.75</v>
      </c>
      <c r="I73" s="4">
        <f t="shared" si="2"/>
        <v>17.737858303021984</v>
      </c>
      <c r="J73" s="4">
        <f t="shared" si="3"/>
        <v>0.55430807196943699</v>
      </c>
    </row>
    <row r="74" spans="1:28">
      <c r="A74" s="4" t="s">
        <v>12</v>
      </c>
      <c r="B74" s="4">
        <v>64</v>
      </c>
      <c r="C74" s="4">
        <v>1000</v>
      </c>
      <c r="D74" s="4">
        <v>500</v>
      </c>
      <c r="E74" s="4">
        <v>500</v>
      </c>
      <c r="F74" s="4">
        <v>0.239262</v>
      </c>
      <c r="G74" s="4">
        <v>0.239262</v>
      </c>
      <c r="H74" s="4">
        <v>3.06264</v>
      </c>
      <c r="I74" s="4">
        <f t="shared" si="2"/>
        <v>12.800361110414524</v>
      </c>
      <c r="J74" s="4">
        <f t="shared" si="3"/>
        <v>0.20000564235022694</v>
      </c>
    </row>
    <row r="75" spans="1:28">
      <c r="A75" s="4" t="s">
        <v>12</v>
      </c>
      <c r="B75" s="4">
        <v>64</v>
      </c>
      <c r="C75" s="4">
        <v>1000</v>
      </c>
      <c r="D75" s="4">
        <v>1000</v>
      </c>
      <c r="E75" s="4">
        <v>1000</v>
      </c>
      <c r="F75" s="4">
        <v>0.72462899999999997</v>
      </c>
      <c r="G75" s="4">
        <v>0.72462899999999997</v>
      </c>
      <c r="H75" s="4">
        <v>13.9963</v>
      </c>
      <c r="I75" s="4">
        <f t="shared" si="2"/>
        <v>19.315125395202234</v>
      </c>
      <c r="J75" s="4">
        <f t="shared" si="3"/>
        <v>0.3017988343000349</v>
      </c>
    </row>
    <row r="76" spans="1:28">
      <c r="A76" s="4" t="s">
        <v>12</v>
      </c>
      <c r="B76" s="4">
        <v>64</v>
      </c>
      <c r="C76" s="4">
        <v>1000</v>
      </c>
      <c r="D76" s="4">
        <v>2000</v>
      </c>
      <c r="E76" s="4">
        <v>2000</v>
      </c>
      <c r="F76" s="4">
        <v>3.3425500000000001</v>
      </c>
      <c r="G76" s="4">
        <v>3.3425500000000001</v>
      </c>
      <c r="H76" s="4">
        <v>71.388900000000007</v>
      </c>
      <c r="I76" s="4">
        <f t="shared" si="2"/>
        <v>21.357616191231248</v>
      </c>
      <c r="J76" s="4">
        <f t="shared" si="3"/>
        <v>0.33371275298798825</v>
      </c>
    </row>
    <row r="77" spans="1:28">
      <c r="A77" s="4" t="s">
        <v>12</v>
      </c>
      <c r="B77" s="4">
        <v>64</v>
      </c>
      <c r="C77" s="4">
        <v>1000</v>
      </c>
      <c r="D77" s="4">
        <v>5000</v>
      </c>
      <c r="E77" s="4">
        <v>5000</v>
      </c>
      <c r="F77" s="4">
        <v>18.616</v>
      </c>
      <c r="G77" s="4">
        <v>18.616</v>
      </c>
      <c r="H77" s="4">
        <v>475.51400000000001</v>
      </c>
      <c r="I77" s="4">
        <f t="shared" si="2"/>
        <v>25.543296089385475</v>
      </c>
      <c r="J77" s="4">
        <f t="shared" si="3"/>
        <v>0.39911400139664804</v>
      </c>
    </row>
    <row r="78" spans="1:28">
      <c r="A78" s="4" t="s">
        <v>12</v>
      </c>
      <c r="B78" s="4">
        <v>64</v>
      </c>
      <c r="C78" s="4">
        <v>1000</v>
      </c>
      <c r="D78" s="4">
        <v>10000</v>
      </c>
      <c r="E78" s="4">
        <v>10000</v>
      </c>
      <c r="F78" s="4">
        <v>68.754999999999995</v>
      </c>
      <c r="G78" s="4">
        <v>68.754999999999995</v>
      </c>
      <c r="H78" s="4">
        <v>1388.71</v>
      </c>
      <c r="I78" s="4">
        <f t="shared" si="2"/>
        <v>20.197949240055269</v>
      </c>
      <c r="J78" s="4">
        <f t="shared" si="3"/>
        <v>0.31559295687586358</v>
      </c>
    </row>
    <row r="79" spans="1:28">
      <c r="A79" s="4" t="s">
        <v>12</v>
      </c>
      <c r="B79" s="4">
        <v>64</v>
      </c>
      <c r="C79" s="4">
        <v>1000</v>
      </c>
      <c r="D79" s="4">
        <v>20000</v>
      </c>
      <c r="E79" s="4">
        <v>20000</v>
      </c>
      <c r="F79" s="4">
        <v>311.209</v>
      </c>
      <c r="G79" s="4">
        <v>311.209</v>
      </c>
      <c r="H79" s="4">
        <v>7753.75</v>
      </c>
      <c r="I79" s="4">
        <f t="shared" si="2"/>
        <v>24.91492855283748</v>
      </c>
      <c r="J79" s="4">
        <f t="shared" si="3"/>
        <v>0.38929575863808563</v>
      </c>
    </row>
    <row r="80" spans="1:28">
      <c r="A80" s="5" t="s">
        <v>23</v>
      </c>
      <c r="B80" s="5">
        <v>32</v>
      </c>
      <c r="C80" s="5">
        <v>1000</v>
      </c>
      <c r="D80" s="5">
        <v>500</v>
      </c>
      <c r="E80" s="5">
        <v>500</v>
      </c>
      <c r="F80" s="5">
        <v>0.33299000000000001</v>
      </c>
      <c r="G80" s="5">
        <v>0.33299000000000001</v>
      </c>
      <c r="H80" s="5">
        <v>3.06264</v>
      </c>
      <c r="I80" s="5">
        <f>IF($A80="MPI --cpu-threads", $H80 / $F80, "")</f>
        <v>9.1973933151145673</v>
      </c>
      <c r="J80" s="5">
        <f>IF($A80="MPI --cpu-threads", I80 / $B80, "")</f>
        <v>0.28741854109733023</v>
      </c>
      <c r="O80" t="s">
        <v>24</v>
      </c>
      <c r="P80" t="s">
        <v>25</v>
      </c>
      <c r="Q80" t="s">
        <v>26</v>
      </c>
      <c r="R80" t="s">
        <v>27</v>
      </c>
      <c r="S80" t="s">
        <v>28</v>
      </c>
      <c r="T80" t="s">
        <v>29</v>
      </c>
      <c r="W80" s="6" t="s">
        <v>24</v>
      </c>
      <c r="X80" s="7" t="s">
        <v>25</v>
      </c>
      <c r="Y80" s="7" t="s">
        <v>26</v>
      </c>
      <c r="Z80" s="7" t="s">
        <v>27</v>
      </c>
      <c r="AA80" s="7" t="s">
        <v>28</v>
      </c>
      <c r="AB80" s="8" t="s">
        <v>29</v>
      </c>
    </row>
    <row r="81" spans="1:28">
      <c r="A81" s="5" t="s">
        <v>23</v>
      </c>
      <c r="B81" s="5">
        <v>32</v>
      </c>
      <c r="C81" s="5">
        <v>1000</v>
      </c>
      <c r="D81" s="5">
        <v>1000</v>
      </c>
      <c r="E81" s="5">
        <v>1000</v>
      </c>
      <c r="F81" s="5">
        <v>1.2583899999999999</v>
      </c>
      <c r="G81" s="5">
        <v>1.2583899999999999</v>
      </c>
      <c r="H81" s="5">
        <v>13.9963</v>
      </c>
      <c r="I81" s="5">
        <f t="shared" ref="I81:I85" si="4">IF($A81="MPI --cpu-threads", $H81 / $F81, "")</f>
        <v>11.122386541533229</v>
      </c>
      <c r="J81" s="5">
        <f t="shared" ref="J81:J85" si="5">IF($A81="MPI --cpu-threads", I81 / $B81, "")</f>
        <v>0.34757457942291342</v>
      </c>
      <c r="O81" t="s">
        <v>24</v>
      </c>
      <c r="P81">
        <v>1</v>
      </c>
      <c r="Q81">
        <v>1</v>
      </c>
      <c r="R81">
        <v>1000</v>
      </c>
      <c r="S81">
        <v>20000</v>
      </c>
      <c r="T81">
        <v>4097.45</v>
      </c>
      <c r="W81" s="9" t="s">
        <v>24</v>
      </c>
      <c r="X81" s="10">
        <v>64</v>
      </c>
      <c r="Y81" s="10">
        <v>8</v>
      </c>
      <c r="Z81" s="10">
        <v>1000</v>
      </c>
      <c r="AA81" s="10">
        <v>20000</v>
      </c>
      <c r="AB81" s="11">
        <v>186.06899999999999</v>
      </c>
    </row>
    <row r="82" spans="1:28">
      <c r="A82" s="5" t="s">
        <v>23</v>
      </c>
      <c r="B82" s="5">
        <v>32</v>
      </c>
      <c r="C82" s="5">
        <v>1000</v>
      </c>
      <c r="D82" s="5">
        <v>2000</v>
      </c>
      <c r="E82" s="5">
        <v>2000</v>
      </c>
      <c r="F82" s="5">
        <v>4.9795600000000002</v>
      </c>
      <c r="G82" s="5">
        <v>4.9795600000000002</v>
      </c>
      <c r="H82" s="5">
        <v>71.388900000000007</v>
      </c>
      <c r="I82" s="5">
        <f t="shared" si="4"/>
        <v>14.336387150671948</v>
      </c>
      <c r="J82" s="5">
        <f t="shared" si="5"/>
        <v>0.44801209845849838</v>
      </c>
      <c r="O82" t="s">
        <v>24</v>
      </c>
      <c r="P82">
        <v>1</v>
      </c>
      <c r="Q82">
        <v>2</v>
      </c>
      <c r="R82">
        <v>1000</v>
      </c>
      <c r="S82">
        <v>20000</v>
      </c>
      <c r="T82">
        <v>3816.15</v>
      </c>
      <c r="W82" s="12" t="s">
        <v>24</v>
      </c>
      <c r="X82" s="13">
        <v>64</v>
      </c>
      <c r="Y82" s="13">
        <v>4</v>
      </c>
      <c r="Z82" s="13">
        <v>1000</v>
      </c>
      <c r="AA82" s="13">
        <v>20000</v>
      </c>
      <c r="AB82" s="14">
        <v>186.74799999999999</v>
      </c>
    </row>
    <row r="83" spans="1:28">
      <c r="A83" s="5" t="s">
        <v>23</v>
      </c>
      <c r="B83" s="5">
        <v>32</v>
      </c>
      <c r="C83" s="5">
        <v>1000</v>
      </c>
      <c r="D83" s="5">
        <v>5000</v>
      </c>
      <c r="E83" s="5">
        <v>5000</v>
      </c>
      <c r="F83" s="5">
        <v>30.994499999999999</v>
      </c>
      <c r="G83" s="5">
        <v>30.994499999999999</v>
      </c>
      <c r="H83" s="5">
        <v>475.51400000000001</v>
      </c>
      <c r="I83" s="5">
        <f t="shared" si="4"/>
        <v>15.341883237348563</v>
      </c>
      <c r="J83" s="5">
        <f t="shared" si="5"/>
        <v>0.4794338511671426</v>
      </c>
      <c r="O83" t="s">
        <v>24</v>
      </c>
      <c r="P83">
        <v>1</v>
      </c>
      <c r="Q83">
        <v>4</v>
      </c>
      <c r="R83">
        <v>1000</v>
      </c>
      <c r="S83">
        <v>20000</v>
      </c>
      <c r="T83">
        <v>3784.37</v>
      </c>
      <c r="W83" s="9" t="s">
        <v>24</v>
      </c>
      <c r="X83" s="10">
        <v>64</v>
      </c>
      <c r="Y83" s="10">
        <v>16</v>
      </c>
      <c r="Z83" s="10">
        <v>1000</v>
      </c>
      <c r="AA83" s="10">
        <v>20000</v>
      </c>
      <c r="AB83" s="11">
        <v>195.93100000000001</v>
      </c>
    </row>
    <row r="84" spans="1:28">
      <c r="A84" s="5" t="s">
        <v>23</v>
      </c>
      <c r="B84" s="5">
        <v>32</v>
      </c>
      <c r="C84" s="5">
        <v>1000</v>
      </c>
      <c r="D84" s="5">
        <v>10000</v>
      </c>
      <c r="E84" s="5">
        <v>10000</v>
      </c>
      <c r="F84" s="5">
        <v>124.633</v>
      </c>
      <c r="G84" s="5">
        <v>124.633</v>
      </c>
      <c r="H84" s="5">
        <v>1388.71</v>
      </c>
      <c r="I84" s="5">
        <f t="shared" si="4"/>
        <v>11.142394068986546</v>
      </c>
      <c r="J84" s="5">
        <f t="shared" si="5"/>
        <v>0.34819981465582955</v>
      </c>
      <c r="O84" t="s">
        <v>24</v>
      </c>
      <c r="P84">
        <v>1</v>
      </c>
      <c r="Q84">
        <v>8</v>
      </c>
      <c r="R84">
        <v>1000</v>
      </c>
      <c r="S84">
        <v>20000</v>
      </c>
      <c r="T84">
        <v>3781.86</v>
      </c>
      <c r="W84" s="12" t="s">
        <v>24</v>
      </c>
      <c r="X84" s="13">
        <v>32</v>
      </c>
      <c r="Y84" s="13">
        <v>4</v>
      </c>
      <c r="Z84" s="13">
        <v>1000</v>
      </c>
      <c r="AA84" s="13">
        <v>20000</v>
      </c>
      <c r="AB84" s="14">
        <v>259.72199999999998</v>
      </c>
    </row>
    <row r="85" spans="1:28">
      <c r="A85" s="5" t="s">
        <v>23</v>
      </c>
      <c r="B85" s="5">
        <v>32</v>
      </c>
      <c r="C85" s="5">
        <v>1000</v>
      </c>
      <c r="D85" s="5">
        <v>20000</v>
      </c>
      <c r="E85" s="5">
        <v>20000</v>
      </c>
      <c r="F85" s="5">
        <v>461.64299999999997</v>
      </c>
      <c r="G85" s="5">
        <v>461.64299999999997</v>
      </c>
      <c r="H85" s="5">
        <v>7753.75</v>
      </c>
      <c r="I85" s="5">
        <f t="shared" si="4"/>
        <v>16.79598737552611</v>
      </c>
      <c r="J85" s="5">
        <f t="shared" si="5"/>
        <v>0.52487460548519094</v>
      </c>
      <c r="O85" t="s">
        <v>24</v>
      </c>
      <c r="P85">
        <v>2</v>
      </c>
      <c r="Q85">
        <v>1</v>
      </c>
      <c r="R85">
        <v>1000</v>
      </c>
      <c r="S85">
        <v>20000</v>
      </c>
      <c r="T85">
        <v>2201.9899999999998</v>
      </c>
      <c r="W85" s="9" t="s">
        <v>24</v>
      </c>
      <c r="X85" s="10">
        <v>32</v>
      </c>
      <c r="Y85" s="10">
        <v>8</v>
      </c>
      <c r="Z85" s="10">
        <v>1000</v>
      </c>
      <c r="AA85" s="10">
        <v>20000</v>
      </c>
      <c r="AB85" s="11">
        <v>263.55599999999998</v>
      </c>
    </row>
    <row r="86" spans="1:28">
      <c r="A86" t="s">
        <v>30</v>
      </c>
      <c r="B86">
        <v>1</v>
      </c>
      <c r="C86">
        <v>1000</v>
      </c>
      <c r="D86">
        <v>500</v>
      </c>
      <c r="E86">
        <v>500</v>
      </c>
      <c r="F86">
        <v>2.3300700000000001</v>
      </c>
      <c r="G86">
        <v>2.3300700000000001</v>
      </c>
      <c r="H86">
        <v>2.3300700000000001</v>
      </c>
      <c r="I86">
        <f>IF($A86="MPI nobuffer", $H86 / $F86, "")</f>
        <v>1</v>
      </c>
      <c r="J86">
        <f>IF($A86="MPI nobuffer", I86 / $B86, "")</f>
        <v>1</v>
      </c>
      <c r="O86" t="s">
        <v>24</v>
      </c>
      <c r="P86">
        <v>4</v>
      </c>
      <c r="Q86">
        <v>1</v>
      </c>
      <c r="R86">
        <v>1000</v>
      </c>
      <c r="S86">
        <v>20000</v>
      </c>
      <c r="T86">
        <v>4330.58</v>
      </c>
      <c r="W86" s="12" t="s">
        <v>24</v>
      </c>
      <c r="X86" s="13">
        <v>32</v>
      </c>
      <c r="Y86" s="13">
        <v>16</v>
      </c>
      <c r="Z86" s="13">
        <v>1000</v>
      </c>
      <c r="AA86" s="13">
        <v>20000</v>
      </c>
      <c r="AB86" s="14">
        <v>272.64699999999999</v>
      </c>
    </row>
    <row r="87" spans="1:28">
      <c r="A87" t="s">
        <v>30</v>
      </c>
      <c r="B87">
        <v>1</v>
      </c>
      <c r="C87">
        <v>1000</v>
      </c>
      <c r="D87">
        <v>1000</v>
      </c>
      <c r="E87">
        <v>1000</v>
      </c>
      <c r="F87">
        <v>8.8066099999999992</v>
      </c>
      <c r="G87">
        <v>8.8066099999999992</v>
      </c>
      <c r="H87">
        <v>8.8066099999999992</v>
      </c>
      <c r="I87">
        <f t="shared" ref="I87:I128" si="6">IF($A87="MPI nobuffer", $H87 / $F87, "")</f>
        <v>1</v>
      </c>
      <c r="J87">
        <f t="shared" ref="J87:J127" si="7">IF($A87="MPI nobuffer", I87 / $B87, "")</f>
        <v>1</v>
      </c>
      <c r="O87" t="s">
        <v>24</v>
      </c>
      <c r="P87">
        <v>4</v>
      </c>
      <c r="Q87">
        <v>2</v>
      </c>
      <c r="R87">
        <v>1000</v>
      </c>
      <c r="S87">
        <v>20000</v>
      </c>
      <c r="T87">
        <v>1252.1199999999999</v>
      </c>
      <c r="W87" s="9" t="s">
        <v>24</v>
      </c>
      <c r="X87" s="10">
        <v>16</v>
      </c>
      <c r="Y87" s="10">
        <v>4</v>
      </c>
      <c r="Z87" s="10">
        <v>1000</v>
      </c>
      <c r="AA87" s="10">
        <v>20000</v>
      </c>
      <c r="AB87" s="11">
        <v>367.25900000000001</v>
      </c>
    </row>
    <row r="88" spans="1:28">
      <c r="A88" t="s">
        <v>30</v>
      </c>
      <c r="B88">
        <v>1</v>
      </c>
      <c r="C88">
        <v>1000</v>
      </c>
      <c r="D88">
        <v>2000</v>
      </c>
      <c r="E88">
        <v>2000</v>
      </c>
      <c r="F88">
        <v>35.8416</v>
      </c>
      <c r="G88">
        <v>35.8416</v>
      </c>
      <c r="H88">
        <v>35.8416</v>
      </c>
      <c r="I88">
        <f t="shared" si="6"/>
        <v>1</v>
      </c>
      <c r="J88">
        <f t="shared" si="7"/>
        <v>1</v>
      </c>
      <c r="O88" t="s">
        <v>24</v>
      </c>
      <c r="P88">
        <v>4</v>
      </c>
      <c r="Q88">
        <v>4</v>
      </c>
      <c r="R88">
        <v>1000</v>
      </c>
      <c r="S88">
        <v>20000</v>
      </c>
      <c r="T88">
        <v>702.49300000000005</v>
      </c>
      <c r="W88" s="12" t="s">
        <v>24</v>
      </c>
      <c r="X88" s="13">
        <v>8</v>
      </c>
      <c r="Y88" s="13">
        <v>8</v>
      </c>
      <c r="Z88" s="13">
        <v>1000</v>
      </c>
      <c r="AA88" s="13">
        <v>20000</v>
      </c>
      <c r="AB88" s="14">
        <v>368.94499999999999</v>
      </c>
    </row>
    <row r="89" spans="1:28">
      <c r="A89" t="s">
        <v>30</v>
      </c>
      <c r="B89">
        <v>1</v>
      </c>
      <c r="C89">
        <v>1000</v>
      </c>
      <c r="D89">
        <v>5000</v>
      </c>
      <c r="E89">
        <v>5000</v>
      </c>
      <c r="F89">
        <v>227.93799999999999</v>
      </c>
      <c r="G89">
        <v>227.93799999999999</v>
      </c>
      <c r="H89">
        <v>227.93799999999999</v>
      </c>
      <c r="I89">
        <f t="shared" si="6"/>
        <v>1</v>
      </c>
      <c r="J89">
        <f t="shared" si="7"/>
        <v>1</v>
      </c>
      <c r="O89" t="s">
        <v>24</v>
      </c>
      <c r="P89">
        <v>4</v>
      </c>
      <c r="Q89">
        <v>8</v>
      </c>
      <c r="R89">
        <v>1000</v>
      </c>
      <c r="S89">
        <v>20000</v>
      </c>
      <c r="T89">
        <v>615.35699999999997</v>
      </c>
      <c r="W89" s="9" t="s">
        <v>24</v>
      </c>
      <c r="X89" s="10">
        <v>4</v>
      </c>
      <c r="Y89" s="10">
        <v>16</v>
      </c>
      <c r="Z89" s="10">
        <v>1000</v>
      </c>
      <c r="AA89" s="10">
        <v>20000</v>
      </c>
      <c r="AB89" s="11">
        <v>383.05700000000002</v>
      </c>
    </row>
    <row r="90" spans="1:28">
      <c r="A90" t="s">
        <v>30</v>
      </c>
      <c r="B90">
        <v>1</v>
      </c>
      <c r="C90">
        <v>1000</v>
      </c>
      <c r="D90">
        <v>10000</v>
      </c>
      <c r="E90">
        <v>10000</v>
      </c>
      <c r="F90">
        <v>914.17499999999995</v>
      </c>
      <c r="G90">
        <v>914.17499999999995</v>
      </c>
      <c r="H90">
        <v>914.17499999999995</v>
      </c>
      <c r="I90">
        <f t="shared" si="6"/>
        <v>1</v>
      </c>
      <c r="J90">
        <f t="shared" si="7"/>
        <v>1</v>
      </c>
      <c r="O90" t="s">
        <v>24</v>
      </c>
      <c r="P90">
        <v>4</v>
      </c>
      <c r="Q90">
        <v>16</v>
      </c>
      <c r="R90">
        <v>1000</v>
      </c>
      <c r="S90">
        <v>20000</v>
      </c>
      <c r="T90">
        <v>383.05700000000002</v>
      </c>
      <c r="W90" s="12" t="s">
        <v>24</v>
      </c>
      <c r="X90" s="13">
        <v>32</v>
      </c>
      <c r="Y90" s="13">
        <v>1</v>
      </c>
      <c r="Z90" s="13">
        <v>1000</v>
      </c>
      <c r="AA90" s="13">
        <v>20000</v>
      </c>
      <c r="AB90" s="14">
        <v>386.1</v>
      </c>
    </row>
    <row r="91" spans="1:28">
      <c r="A91" t="s">
        <v>30</v>
      </c>
      <c r="B91">
        <v>1</v>
      </c>
      <c r="C91">
        <v>1000</v>
      </c>
      <c r="D91">
        <v>20000</v>
      </c>
      <c r="E91">
        <v>20000</v>
      </c>
      <c r="F91">
        <v>3720.34</v>
      </c>
      <c r="G91">
        <v>3720.34</v>
      </c>
      <c r="H91">
        <v>3720.34</v>
      </c>
      <c r="I91">
        <f t="shared" si="6"/>
        <v>1</v>
      </c>
      <c r="J91">
        <f t="shared" si="7"/>
        <v>1</v>
      </c>
      <c r="O91" t="s">
        <v>24</v>
      </c>
      <c r="P91">
        <v>8</v>
      </c>
      <c r="Q91">
        <v>1</v>
      </c>
      <c r="R91">
        <v>1000</v>
      </c>
      <c r="S91">
        <v>20000</v>
      </c>
      <c r="T91">
        <v>1968.26</v>
      </c>
      <c r="W91" s="9" t="s">
        <v>24</v>
      </c>
      <c r="X91" s="10">
        <v>16</v>
      </c>
      <c r="Y91" s="10">
        <v>8</v>
      </c>
      <c r="Z91" s="10">
        <v>1000</v>
      </c>
      <c r="AA91" s="10">
        <v>20000</v>
      </c>
      <c r="AB91" s="11">
        <v>392.94299999999998</v>
      </c>
    </row>
    <row r="92" spans="1:28">
      <c r="A92" t="s">
        <v>30</v>
      </c>
      <c r="B92">
        <v>2</v>
      </c>
      <c r="C92">
        <v>1000</v>
      </c>
      <c r="D92">
        <v>500</v>
      </c>
      <c r="E92">
        <v>500</v>
      </c>
      <c r="F92">
        <v>1.24796</v>
      </c>
      <c r="G92">
        <v>1.24796</v>
      </c>
      <c r="H92">
        <v>2.3300700000000001</v>
      </c>
      <c r="I92">
        <f t="shared" si="6"/>
        <v>1.8671031122792399</v>
      </c>
      <c r="J92">
        <f t="shared" si="7"/>
        <v>0.93355155613961993</v>
      </c>
      <c r="O92" t="s">
        <v>24</v>
      </c>
      <c r="P92">
        <v>8</v>
      </c>
      <c r="Q92">
        <v>2</v>
      </c>
      <c r="R92">
        <v>1000</v>
      </c>
      <c r="S92">
        <v>20000</v>
      </c>
      <c r="T92">
        <v>704.83100000000002</v>
      </c>
      <c r="W92" s="12" t="s">
        <v>24</v>
      </c>
      <c r="X92" s="13">
        <v>8</v>
      </c>
      <c r="Y92" s="13">
        <v>16</v>
      </c>
      <c r="Z92" s="13">
        <v>1000</v>
      </c>
      <c r="AA92" s="13">
        <v>20000</v>
      </c>
      <c r="AB92" s="14">
        <v>405.16800000000001</v>
      </c>
    </row>
    <row r="93" spans="1:28">
      <c r="A93" t="s">
        <v>30</v>
      </c>
      <c r="B93">
        <v>2</v>
      </c>
      <c r="C93">
        <v>1000</v>
      </c>
      <c r="D93">
        <v>1000</v>
      </c>
      <c r="E93">
        <v>1000</v>
      </c>
      <c r="F93">
        <v>4.64323</v>
      </c>
      <c r="G93">
        <v>4.64323</v>
      </c>
      <c r="H93">
        <v>8.8066099999999992</v>
      </c>
      <c r="I93">
        <f t="shared" si="6"/>
        <v>1.8966559916265184</v>
      </c>
      <c r="J93">
        <f t="shared" si="7"/>
        <v>0.94832799581325922</v>
      </c>
      <c r="O93" t="s">
        <v>24</v>
      </c>
      <c r="P93">
        <v>8</v>
      </c>
      <c r="Q93">
        <v>4</v>
      </c>
      <c r="R93">
        <v>1000</v>
      </c>
      <c r="S93">
        <v>20000</v>
      </c>
      <c r="T93">
        <v>613.58699999999999</v>
      </c>
    </row>
    <row r="94" spans="1:28">
      <c r="A94" t="s">
        <v>30</v>
      </c>
      <c r="B94">
        <v>2</v>
      </c>
      <c r="C94">
        <v>1000</v>
      </c>
      <c r="D94">
        <v>2000</v>
      </c>
      <c r="E94">
        <v>2000</v>
      </c>
      <c r="F94">
        <v>18.135300000000001</v>
      </c>
      <c r="G94">
        <v>18.135300000000001</v>
      </c>
      <c r="H94">
        <v>35.8416</v>
      </c>
      <c r="I94">
        <f t="shared" si="6"/>
        <v>1.9763444773452878</v>
      </c>
      <c r="J94">
        <f t="shared" si="7"/>
        <v>0.98817223867264392</v>
      </c>
      <c r="O94" t="s">
        <v>24</v>
      </c>
      <c r="P94">
        <v>8</v>
      </c>
      <c r="Q94">
        <v>8</v>
      </c>
      <c r="R94">
        <v>1000</v>
      </c>
      <c r="S94">
        <v>20000</v>
      </c>
      <c r="T94">
        <v>368.94499999999999</v>
      </c>
    </row>
    <row r="95" spans="1:28">
      <c r="A95" t="s">
        <v>30</v>
      </c>
      <c r="B95">
        <v>2</v>
      </c>
      <c r="C95">
        <v>1000</v>
      </c>
      <c r="D95">
        <v>5000</v>
      </c>
      <c r="E95">
        <v>5000</v>
      </c>
      <c r="F95">
        <v>119.845</v>
      </c>
      <c r="G95">
        <v>119.845</v>
      </c>
      <c r="H95">
        <v>227.93799999999999</v>
      </c>
      <c r="I95">
        <f t="shared" si="6"/>
        <v>1.9019400058408777</v>
      </c>
      <c r="J95">
        <f t="shared" si="7"/>
        <v>0.95097000292043887</v>
      </c>
      <c r="O95" t="s">
        <v>24</v>
      </c>
      <c r="P95">
        <v>8</v>
      </c>
      <c r="Q95">
        <v>16</v>
      </c>
      <c r="R95">
        <v>1000</v>
      </c>
      <c r="S95">
        <v>20000</v>
      </c>
      <c r="T95">
        <v>405.16800000000001</v>
      </c>
    </row>
    <row r="96" spans="1:28">
      <c r="A96" t="s">
        <v>30</v>
      </c>
      <c r="B96">
        <v>2</v>
      </c>
      <c r="C96">
        <v>1000</v>
      </c>
      <c r="D96">
        <v>10000</v>
      </c>
      <c r="E96">
        <v>10000</v>
      </c>
      <c r="F96">
        <v>476.99299999999999</v>
      </c>
      <c r="G96">
        <v>476.99299999999999</v>
      </c>
      <c r="H96">
        <v>914.17499999999995</v>
      </c>
      <c r="I96">
        <f t="shared" si="6"/>
        <v>1.9165375592513936</v>
      </c>
      <c r="J96">
        <f t="shared" si="7"/>
        <v>0.95826877962569679</v>
      </c>
      <c r="O96" t="s">
        <v>24</v>
      </c>
      <c r="P96">
        <v>16</v>
      </c>
      <c r="Q96">
        <v>1</v>
      </c>
      <c r="R96">
        <v>1000</v>
      </c>
      <c r="S96">
        <v>20000</v>
      </c>
      <c r="T96">
        <v>721.11699999999996</v>
      </c>
    </row>
    <row r="97" spans="1:20">
      <c r="A97" t="s">
        <v>30</v>
      </c>
      <c r="B97">
        <v>2</v>
      </c>
      <c r="C97">
        <v>1000</v>
      </c>
      <c r="D97">
        <v>20000</v>
      </c>
      <c r="E97">
        <v>20000</v>
      </c>
      <c r="F97">
        <v>1910.26</v>
      </c>
      <c r="G97">
        <v>1910.26</v>
      </c>
      <c r="H97">
        <v>3720.34</v>
      </c>
      <c r="I97">
        <f t="shared" si="6"/>
        <v>1.947556877074325</v>
      </c>
      <c r="J97">
        <f t="shared" si="7"/>
        <v>0.97377843853716251</v>
      </c>
      <c r="O97" t="s">
        <v>24</v>
      </c>
      <c r="P97">
        <v>16</v>
      </c>
      <c r="Q97">
        <v>2</v>
      </c>
      <c r="R97">
        <v>1000</v>
      </c>
      <c r="S97">
        <v>20000</v>
      </c>
      <c r="T97">
        <v>557.43700000000001</v>
      </c>
    </row>
    <row r="98" spans="1:20">
      <c r="A98" t="s">
        <v>30</v>
      </c>
      <c r="B98">
        <v>4</v>
      </c>
      <c r="C98">
        <v>1000</v>
      </c>
      <c r="D98">
        <v>500</v>
      </c>
      <c r="E98">
        <v>500</v>
      </c>
      <c r="F98">
        <v>0.71897800000000001</v>
      </c>
      <c r="G98">
        <v>0.71897800000000001</v>
      </c>
      <c r="H98">
        <v>2.3300700000000001</v>
      </c>
      <c r="I98">
        <f t="shared" si="6"/>
        <v>3.2408084809270936</v>
      </c>
      <c r="J98">
        <f t="shared" si="7"/>
        <v>0.8102021202317734</v>
      </c>
      <c r="O98" t="s">
        <v>24</v>
      </c>
      <c r="P98">
        <v>16</v>
      </c>
      <c r="Q98">
        <v>4</v>
      </c>
      <c r="R98">
        <v>1000</v>
      </c>
      <c r="S98">
        <v>20000</v>
      </c>
      <c r="T98">
        <v>367.25900000000001</v>
      </c>
    </row>
    <row r="99" spans="1:20">
      <c r="A99" t="s">
        <v>30</v>
      </c>
      <c r="B99">
        <v>4</v>
      </c>
      <c r="C99">
        <v>1000</v>
      </c>
      <c r="D99">
        <v>1000</v>
      </c>
      <c r="E99">
        <v>1000</v>
      </c>
      <c r="F99">
        <v>2.5896599999999999</v>
      </c>
      <c r="G99">
        <v>2.5896599999999999</v>
      </c>
      <c r="H99">
        <v>8.8066099999999992</v>
      </c>
      <c r="I99">
        <f t="shared" si="6"/>
        <v>3.4006819428033022</v>
      </c>
      <c r="J99">
        <f t="shared" si="7"/>
        <v>0.85017048570082554</v>
      </c>
      <c r="O99" t="s">
        <v>24</v>
      </c>
      <c r="P99">
        <v>16</v>
      </c>
      <c r="Q99">
        <v>8</v>
      </c>
      <c r="R99">
        <v>1000</v>
      </c>
      <c r="S99">
        <v>20000</v>
      </c>
      <c r="T99">
        <v>392.94299999999998</v>
      </c>
    </row>
    <row r="100" spans="1:20">
      <c r="A100" t="s">
        <v>30</v>
      </c>
      <c r="B100">
        <v>4</v>
      </c>
      <c r="C100">
        <v>1000</v>
      </c>
      <c r="D100">
        <v>2000</v>
      </c>
      <c r="E100">
        <v>2000</v>
      </c>
      <c r="F100">
        <v>10.4658</v>
      </c>
      <c r="G100">
        <v>10.4658</v>
      </c>
      <c r="H100">
        <v>35.8416</v>
      </c>
      <c r="I100">
        <f t="shared" si="6"/>
        <v>3.4246402568365535</v>
      </c>
      <c r="J100">
        <f t="shared" si="7"/>
        <v>0.85616006420913837</v>
      </c>
      <c r="O100" t="s">
        <v>24</v>
      </c>
      <c r="P100">
        <v>16</v>
      </c>
      <c r="Q100">
        <v>16</v>
      </c>
      <c r="R100">
        <v>1000</v>
      </c>
      <c r="S100">
        <v>20000</v>
      </c>
      <c r="T100">
        <v>427.7</v>
      </c>
    </row>
    <row r="101" spans="1:20">
      <c r="A101" t="s">
        <v>30</v>
      </c>
      <c r="B101">
        <v>4</v>
      </c>
      <c r="C101">
        <v>1000</v>
      </c>
      <c r="D101">
        <v>5000</v>
      </c>
      <c r="E101">
        <v>5000</v>
      </c>
      <c r="F101">
        <v>66.644499999999994</v>
      </c>
      <c r="G101">
        <v>66.644499999999994</v>
      </c>
      <c r="H101">
        <v>227.93799999999999</v>
      </c>
      <c r="I101">
        <f t="shared" si="6"/>
        <v>3.4202072189002846</v>
      </c>
      <c r="J101">
        <f t="shared" si="7"/>
        <v>0.85505180472507114</v>
      </c>
      <c r="O101" t="s">
        <v>24</v>
      </c>
      <c r="P101">
        <v>32</v>
      </c>
      <c r="Q101">
        <v>1</v>
      </c>
      <c r="R101">
        <v>1000</v>
      </c>
      <c r="S101">
        <v>20000</v>
      </c>
      <c r="T101">
        <v>386.1</v>
      </c>
    </row>
    <row r="102" spans="1:20">
      <c r="A102" t="s">
        <v>30</v>
      </c>
      <c r="B102">
        <v>4</v>
      </c>
      <c r="C102">
        <v>1000</v>
      </c>
      <c r="D102">
        <v>10000</v>
      </c>
      <c r="E102">
        <v>10000</v>
      </c>
      <c r="F102">
        <v>265.93</v>
      </c>
      <c r="G102">
        <v>265.93</v>
      </c>
      <c r="H102">
        <v>914.17499999999995</v>
      </c>
      <c r="I102">
        <f t="shared" si="6"/>
        <v>3.4376527657654266</v>
      </c>
      <c r="J102">
        <f t="shared" si="7"/>
        <v>0.85941319144135664</v>
      </c>
      <c r="O102" t="s">
        <v>24</v>
      </c>
      <c r="P102">
        <v>64</v>
      </c>
      <c r="Q102">
        <v>4</v>
      </c>
      <c r="R102">
        <v>1000</v>
      </c>
      <c r="S102">
        <v>20000</v>
      </c>
      <c r="T102">
        <v>186.74799999999999</v>
      </c>
    </row>
    <row r="103" spans="1:20">
      <c r="A103" t="s">
        <v>30</v>
      </c>
      <c r="B103">
        <v>4</v>
      </c>
      <c r="C103">
        <v>1000</v>
      </c>
      <c r="D103">
        <v>20000</v>
      </c>
      <c r="E103">
        <v>20000</v>
      </c>
      <c r="F103">
        <v>1067.43</v>
      </c>
      <c r="G103">
        <v>1067.43</v>
      </c>
      <c r="H103">
        <v>3720.34</v>
      </c>
      <c r="I103">
        <f t="shared" si="6"/>
        <v>3.4853245646084519</v>
      </c>
      <c r="J103">
        <f t="shared" si="7"/>
        <v>0.87133114115211296</v>
      </c>
      <c r="O103" t="s">
        <v>24</v>
      </c>
      <c r="P103">
        <v>32</v>
      </c>
      <c r="Q103">
        <v>4</v>
      </c>
      <c r="R103">
        <v>1000</v>
      </c>
      <c r="S103">
        <v>20000</v>
      </c>
      <c r="T103">
        <v>259.72199999999998</v>
      </c>
    </row>
    <row r="104" spans="1:20">
      <c r="A104" t="s">
        <v>30</v>
      </c>
      <c r="B104">
        <v>8</v>
      </c>
      <c r="C104">
        <v>1000</v>
      </c>
      <c r="D104">
        <v>500</v>
      </c>
      <c r="E104">
        <v>500</v>
      </c>
      <c r="F104">
        <v>0.41038999999999998</v>
      </c>
      <c r="G104">
        <v>0.41038999999999998</v>
      </c>
      <c r="H104">
        <v>2.3300700000000001</v>
      </c>
      <c r="I104">
        <f t="shared" si="6"/>
        <v>5.6776968249713695</v>
      </c>
      <c r="J104">
        <f t="shared" si="7"/>
        <v>0.70971210312142119</v>
      </c>
      <c r="O104" t="s">
        <v>24</v>
      </c>
      <c r="P104">
        <v>32</v>
      </c>
      <c r="Q104">
        <v>8</v>
      </c>
      <c r="R104">
        <v>1000</v>
      </c>
      <c r="S104">
        <v>20000</v>
      </c>
      <c r="T104">
        <v>263.55599999999998</v>
      </c>
    </row>
    <row r="105" spans="1:20">
      <c r="A105" t="s">
        <v>30</v>
      </c>
      <c r="B105">
        <v>8</v>
      </c>
      <c r="C105">
        <v>1000</v>
      </c>
      <c r="D105">
        <v>1000</v>
      </c>
      <c r="E105">
        <v>1000</v>
      </c>
      <c r="F105">
        <v>1.4539599999999999</v>
      </c>
      <c r="G105">
        <v>1.4539599999999999</v>
      </c>
      <c r="H105">
        <v>8.8066099999999992</v>
      </c>
      <c r="I105">
        <f t="shared" si="6"/>
        <v>6.0569823103799276</v>
      </c>
      <c r="J105">
        <f t="shared" si="7"/>
        <v>0.75712278879749095</v>
      </c>
      <c r="O105" t="s">
        <v>24</v>
      </c>
      <c r="P105">
        <v>32</v>
      </c>
      <c r="Q105">
        <v>16</v>
      </c>
      <c r="R105">
        <v>1000</v>
      </c>
      <c r="S105">
        <v>20000</v>
      </c>
      <c r="T105">
        <v>272.64699999999999</v>
      </c>
    </row>
    <row r="106" spans="1:20">
      <c r="A106" t="s">
        <v>30</v>
      </c>
      <c r="B106">
        <v>8</v>
      </c>
      <c r="C106">
        <v>1000</v>
      </c>
      <c r="D106">
        <v>2000</v>
      </c>
      <c r="E106">
        <v>2000</v>
      </c>
      <c r="F106">
        <v>5.6465899999999998</v>
      </c>
      <c r="G106">
        <v>5.6465899999999998</v>
      </c>
      <c r="H106">
        <v>35.8416</v>
      </c>
      <c r="I106">
        <f t="shared" si="6"/>
        <v>6.3474769728278488</v>
      </c>
      <c r="J106">
        <f t="shared" si="7"/>
        <v>0.79343462160348111</v>
      </c>
      <c r="O106" t="s">
        <v>24</v>
      </c>
      <c r="P106">
        <v>64</v>
      </c>
      <c r="Q106">
        <v>8</v>
      </c>
      <c r="R106">
        <v>1000</v>
      </c>
      <c r="S106">
        <v>20000</v>
      </c>
      <c r="T106">
        <v>186.06899999999999</v>
      </c>
    </row>
    <row r="107" spans="1:20">
      <c r="A107" t="s">
        <v>30</v>
      </c>
      <c r="B107">
        <v>8</v>
      </c>
      <c r="C107">
        <v>1000</v>
      </c>
      <c r="D107">
        <v>5000</v>
      </c>
      <c r="E107">
        <v>5000</v>
      </c>
      <c r="F107">
        <v>37.023299999999999</v>
      </c>
      <c r="G107">
        <v>37.023299999999999</v>
      </c>
      <c r="H107">
        <v>227.93799999999999</v>
      </c>
      <c r="I107">
        <f t="shared" si="6"/>
        <v>6.1566094864585272</v>
      </c>
      <c r="J107">
        <f t="shared" si="7"/>
        <v>0.7695761858073159</v>
      </c>
      <c r="O107" t="s">
        <v>24</v>
      </c>
      <c r="P107">
        <v>64</v>
      </c>
      <c r="Q107">
        <v>16</v>
      </c>
      <c r="R107">
        <v>1000</v>
      </c>
      <c r="S107">
        <v>20000</v>
      </c>
      <c r="T107">
        <v>195.93100000000001</v>
      </c>
    </row>
    <row r="108" spans="1:20">
      <c r="A108" t="s">
        <v>30</v>
      </c>
      <c r="B108">
        <v>8</v>
      </c>
      <c r="C108">
        <v>1000</v>
      </c>
      <c r="D108">
        <v>10000</v>
      </c>
      <c r="E108">
        <v>10000</v>
      </c>
      <c r="F108">
        <v>151.91200000000001</v>
      </c>
      <c r="G108">
        <v>151.91200000000001</v>
      </c>
      <c r="H108">
        <v>914.17499999999995</v>
      </c>
      <c r="I108">
        <f t="shared" si="6"/>
        <v>6.017793196060877</v>
      </c>
      <c r="J108">
        <f t="shared" si="7"/>
        <v>0.75222414950760963</v>
      </c>
    </row>
    <row r="109" spans="1:20">
      <c r="A109" t="s">
        <v>30</v>
      </c>
      <c r="B109">
        <v>8</v>
      </c>
      <c r="C109">
        <v>1000</v>
      </c>
      <c r="D109">
        <v>20000</v>
      </c>
      <c r="E109">
        <v>20000</v>
      </c>
      <c r="F109">
        <v>592.70500000000004</v>
      </c>
      <c r="G109">
        <v>592.70500000000004</v>
      </c>
      <c r="H109">
        <v>3720.34</v>
      </c>
      <c r="I109">
        <f t="shared" si="6"/>
        <v>6.2768831037362602</v>
      </c>
      <c r="J109">
        <f t="shared" si="7"/>
        <v>0.78461038796703253</v>
      </c>
    </row>
    <row r="110" spans="1:20">
      <c r="A110" t="s">
        <v>30</v>
      </c>
      <c r="B110">
        <v>16</v>
      </c>
      <c r="C110">
        <v>1000</v>
      </c>
      <c r="D110">
        <v>500</v>
      </c>
      <c r="E110">
        <v>500</v>
      </c>
      <c r="F110">
        <v>0.29619299999999998</v>
      </c>
      <c r="G110">
        <v>0.29619299999999998</v>
      </c>
      <c r="H110">
        <v>2.3300700000000001</v>
      </c>
      <c r="I110">
        <f t="shared" si="6"/>
        <v>7.8667287883238304</v>
      </c>
      <c r="J110">
        <f t="shared" si="7"/>
        <v>0.4916705492702394</v>
      </c>
    </row>
    <row r="111" spans="1:20">
      <c r="A111" t="s">
        <v>30</v>
      </c>
      <c r="B111">
        <v>16</v>
      </c>
      <c r="C111">
        <v>1000</v>
      </c>
      <c r="D111">
        <v>1000</v>
      </c>
      <c r="E111">
        <v>1000</v>
      </c>
      <c r="F111">
        <v>0.85240899999999997</v>
      </c>
      <c r="G111">
        <v>0.85240899999999997</v>
      </c>
      <c r="H111">
        <v>8.8066099999999992</v>
      </c>
      <c r="I111">
        <f t="shared" si="6"/>
        <v>10.331437138744429</v>
      </c>
      <c r="J111">
        <f t="shared" si="7"/>
        <v>0.64571482117152679</v>
      </c>
    </row>
    <row r="112" spans="1:20">
      <c r="A112" t="s">
        <v>30</v>
      </c>
      <c r="B112">
        <v>16</v>
      </c>
      <c r="C112">
        <v>1000</v>
      </c>
      <c r="D112">
        <v>2000</v>
      </c>
      <c r="E112">
        <v>2000</v>
      </c>
      <c r="F112">
        <v>3.3381599999999998</v>
      </c>
      <c r="G112">
        <v>3.3381599999999998</v>
      </c>
      <c r="H112">
        <v>35.8416</v>
      </c>
      <c r="I112">
        <f t="shared" si="6"/>
        <v>10.736932921130204</v>
      </c>
      <c r="J112">
        <f t="shared" si="7"/>
        <v>0.67105830757063778</v>
      </c>
    </row>
    <row r="113" spans="1:10">
      <c r="A113" t="s">
        <v>30</v>
      </c>
      <c r="B113">
        <v>16</v>
      </c>
      <c r="C113">
        <v>1000</v>
      </c>
      <c r="D113">
        <v>5000</v>
      </c>
      <c r="E113">
        <v>5000</v>
      </c>
      <c r="F113">
        <v>22.277100000000001</v>
      </c>
      <c r="G113">
        <v>22.277100000000001</v>
      </c>
      <c r="H113">
        <v>227.93799999999999</v>
      </c>
      <c r="I113">
        <f t="shared" si="6"/>
        <v>10.231942218690941</v>
      </c>
      <c r="J113">
        <f t="shared" si="7"/>
        <v>0.63949638866818381</v>
      </c>
    </row>
    <row r="114" spans="1:10">
      <c r="A114" t="s">
        <v>30</v>
      </c>
      <c r="B114">
        <v>16</v>
      </c>
      <c r="C114">
        <v>1000</v>
      </c>
      <c r="D114">
        <v>10000</v>
      </c>
      <c r="E114">
        <v>10000</v>
      </c>
      <c r="F114">
        <v>84.606399999999994</v>
      </c>
      <c r="G114">
        <v>84.606399999999994</v>
      </c>
      <c r="H114">
        <v>914.17499999999995</v>
      </c>
      <c r="I114">
        <f t="shared" si="6"/>
        <v>10.805033661756084</v>
      </c>
      <c r="J114">
        <f t="shared" si="7"/>
        <v>0.67531460385975528</v>
      </c>
    </row>
    <row r="115" spans="1:10">
      <c r="A115" t="s">
        <v>30</v>
      </c>
      <c r="B115">
        <v>16</v>
      </c>
      <c r="C115">
        <v>1000</v>
      </c>
      <c r="D115">
        <v>20000</v>
      </c>
      <c r="E115">
        <v>20000</v>
      </c>
      <c r="F115">
        <v>339.42399999999998</v>
      </c>
      <c r="G115">
        <v>339.42399999999998</v>
      </c>
      <c r="H115">
        <v>3720.34</v>
      </c>
      <c r="I115">
        <f t="shared" si="6"/>
        <v>10.96074526256246</v>
      </c>
      <c r="J115">
        <f t="shared" si="7"/>
        <v>0.68504657891015375</v>
      </c>
    </row>
    <row r="116" spans="1:10">
      <c r="A116" t="s">
        <v>30</v>
      </c>
      <c r="B116">
        <v>32</v>
      </c>
      <c r="C116">
        <v>1000</v>
      </c>
      <c r="D116">
        <v>500</v>
      </c>
      <c r="E116">
        <v>500</v>
      </c>
      <c r="F116">
        <v>0.26821899999999999</v>
      </c>
      <c r="G116">
        <v>0.26821899999999999</v>
      </c>
      <c r="H116">
        <v>2.3300700000000001</v>
      </c>
      <c r="I116">
        <f t="shared" si="6"/>
        <v>8.6871921825075784</v>
      </c>
      <c r="J116">
        <f t="shared" si="7"/>
        <v>0.27147475570336183</v>
      </c>
    </row>
    <row r="117" spans="1:10">
      <c r="A117" t="s">
        <v>30</v>
      </c>
      <c r="B117">
        <v>32</v>
      </c>
      <c r="C117">
        <v>1000</v>
      </c>
      <c r="D117">
        <v>1000</v>
      </c>
      <c r="E117">
        <v>1000</v>
      </c>
      <c r="F117">
        <v>0.78497099999999997</v>
      </c>
      <c r="G117">
        <v>0.78497099999999997</v>
      </c>
      <c r="H117">
        <v>8.8066099999999992</v>
      </c>
      <c r="I117">
        <f t="shared" si="6"/>
        <v>11.219025925798531</v>
      </c>
      <c r="J117">
        <f t="shared" si="7"/>
        <v>0.35059456018120411</v>
      </c>
    </row>
    <row r="118" spans="1:10">
      <c r="A118" t="s">
        <v>30</v>
      </c>
      <c r="B118">
        <v>32</v>
      </c>
      <c r="C118">
        <v>1000</v>
      </c>
      <c r="D118">
        <v>2000</v>
      </c>
      <c r="E118">
        <v>2000</v>
      </c>
      <c r="F118">
        <v>4.2598000000000003</v>
      </c>
      <c r="G118">
        <v>4.2598000000000003</v>
      </c>
      <c r="H118">
        <v>35.8416</v>
      </c>
      <c r="I118">
        <f t="shared" si="6"/>
        <v>8.4139161462979484</v>
      </c>
      <c r="J118">
        <f t="shared" si="7"/>
        <v>0.26293487957181089</v>
      </c>
    </row>
    <row r="119" spans="1:10">
      <c r="A119" t="s">
        <v>30</v>
      </c>
      <c r="B119">
        <v>32</v>
      </c>
      <c r="C119">
        <v>1000</v>
      </c>
      <c r="D119">
        <v>5000</v>
      </c>
      <c r="E119">
        <v>5000</v>
      </c>
      <c r="F119">
        <v>23.9603</v>
      </c>
      <c r="G119">
        <v>23.9603</v>
      </c>
      <c r="H119">
        <v>227.93799999999999</v>
      </c>
      <c r="I119">
        <f t="shared" si="6"/>
        <v>9.513153007266185</v>
      </c>
      <c r="J119">
        <f t="shared" si="7"/>
        <v>0.29728603147706828</v>
      </c>
    </row>
    <row r="120" spans="1:10">
      <c r="A120" t="s">
        <v>30</v>
      </c>
      <c r="B120">
        <v>32</v>
      </c>
      <c r="C120">
        <v>1000</v>
      </c>
      <c r="D120">
        <v>10000</v>
      </c>
      <c r="E120">
        <v>10000</v>
      </c>
      <c r="F120">
        <v>87.486400000000003</v>
      </c>
      <c r="G120">
        <v>87.486400000000003</v>
      </c>
      <c r="H120">
        <v>914.17499999999995</v>
      </c>
      <c r="I120">
        <f t="shared" si="6"/>
        <v>10.449338411455951</v>
      </c>
      <c r="J120">
        <f t="shared" si="7"/>
        <v>0.32654182535799847</v>
      </c>
    </row>
    <row r="121" spans="1:10">
      <c r="A121" t="s">
        <v>30</v>
      </c>
      <c r="B121">
        <v>32</v>
      </c>
      <c r="C121">
        <v>1000</v>
      </c>
      <c r="D121">
        <v>20000</v>
      </c>
      <c r="E121">
        <v>20000</v>
      </c>
      <c r="F121">
        <v>378.50700000000001</v>
      </c>
      <c r="G121">
        <v>378.50700000000001</v>
      </c>
      <c r="H121">
        <v>3720.34</v>
      </c>
      <c r="I121">
        <f t="shared" si="6"/>
        <v>9.8289859896910752</v>
      </c>
      <c r="J121">
        <f t="shared" si="7"/>
        <v>0.3071558121778461</v>
      </c>
    </row>
    <row r="122" spans="1:10">
      <c r="A122" t="s">
        <v>30</v>
      </c>
      <c r="B122">
        <v>64</v>
      </c>
      <c r="C122">
        <v>1000</v>
      </c>
      <c r="D122">
        <v>500</v>
      </c>
      <c r="E122">
        <v>500</v>
      </c>
      <c r="F122">
        <v>0.211981</v>
      </c>
      <c r="G122">
        <v>0.211981</v>
      </c>
      <c r="H122">
        <v>2.3300700000000001</v>
      </c>
      <c r="I122">
        <f t="shared" si="6"/>
        <v>10.991881347856648</v>
      </c>
      <c r="J122">
        <f t="shared" si="7"/>
        <v>0.17174814606026012</v>
      </c>
    </row>
    <row r="123" spans="1:10">
      <c r="A123" t="s">
        <v>30</v>
      </c>
      <c r="B123">
        <v>64</v>
      </c>
      <c r="C123">
        <v>1000</v>
      </c>
      <c r="D123">
        <v>1000</v>
      </c>
      <c r="E123">
        <v>1000</v>
      </c>
      <c r="F123">
        <v>0.92870900000000001</v>
      </c>
      <c r="G123">
        <v>0.92870900000000001</v>
      </c>
      <c r="H123">
        <v>8.8066099999999992</v>
      </c>
      <c r="I123">
        <f t="shared" si="6"/>
        <v>9.4826366493702547</v>
      </c>
      <c r="J123">
        <f t="shared" si="7"/>
        <v>0.14816619764641023</v>
      </c>
    </row>
    <row r="124" spans="1:10">
      <c r="A124" t="s">
        <v>30</v>
      </c>
      <c r="B124">
        <v>64</v>
      </c>
      <c r="C124">
        <v>1000</v>
      </c>
      <c r="D124">
        <v>2000</v>
      </c>
      <c r="E124">
        <v>2000</v>
      </c>
      <c r="F124">
        <v>3.0845600000000002</v>
      </c>
      <c r="G124">
        <v>3.0845600000000002</v>
      </c>
      <c r="H124">
        <v>35.8416</v>
      </c>
      <c r="I124">
        <f t="shared" si="6"/>
        <v>11.619679954353295</v>
      </c>
      <c r="J124">
        <f t="shared" si="7"/>
        <v>0.18155749928677023</v>
      </c>
    </row>
    <row r="125" spans="1:10">
      <c r="A125" t="s">
        <v>30</v>
      </c>
      <c r="B125">
        <v>64</v>
      </c>
      <c r="C125">
        <v>1000</v>
      </c>
      <c r="D125">
        <v>5000</v>
      </c>
      <c r="E125">
        <v>5000</v>
      </c>
      <c r="F125">
        <v>15.4496</v>
      </c>
      <c r="G125">
        <v>15.4496</v>
      </c>
      <c r="H125">
        <v>227.93799999999999</v>
      </c>
      <c r="I125">
        <f t="shared" si="6"/>
        <v>14.753650579950289</v>
      </c>
      <c r="J125">
        <f t="shared" si="7"/>
        <v>0.23052579031172327</v>
      </c>
    </row>
    <row r="126" spans="1:10">
      <c r="A126" t="s">
        <v>30</v>
      </c>
      <c r="B126">
        <v>64</v>
      </c>
      <c r="C126">
        <v>1000</v>
      </c>
      <c r="D126">
        <v>10000</v>
      </c>
      <c r="E126">
        <v>10000</v>
      </c>
      <c r="F126">
        <v>62.794600000000003</v>
      </c>
      <c r="G126">
        <v>62.794600000000003</v>
      </c>
      <c r="H126">
        <v>914.17499999999995</v>
      </c>
      <c r="I126">
        <f t="shared" si="6"/>
        <v>14.558178569494828</v>
      </c>
      <c r="J126">
        <f t="shared" si="7"/>
        <v>0.22747154014835669</v>
      </c>
    </row>
    <row r="127" spans="1:10">
      <c r="A127" t="s">
        <v>30</v>
      </c>
      <c r="B127">
        <v>64</v>
      </c>
      <c r="C127">
        <v>1000</v>
      </c>
      <c r="D127">
        <v>20000</v>
      </c>
      <c r="E127">
        <v>20000</v>
      </c>
      <c r="F127">
        <v>232.893</v>
      </c>
      <c r="G127">
        <v>232.893</v>
      </c>
      <c r="H127">
        <v>3720.34</v>
      </c>
      <c r="I127">
        <f t="shared" si="6"/>
        <v>15.974460374506748</v>
      </c>
      <c r="J127">
        <f t="shared" si="7"/>
        <v>0.24960094335166794</v>
      </c>
    </row>
    <row r="128" spans="1:10">
      <c r="A128" t="s">
        <v>31</v>
      </c>
      <c r="B128">
        <v>1</v>
      </c>
      <c r="C128">
        <v>1000</v>
      </c>
      <c r="D128">
        <v>500</v>
      </c>
      <c r="E128">
        <v>500</v>
      </c>
      <c r="F128">
        <v>2.5025400000000002</v>
      </c>
      <c r="G128">
        <v>2.5025400000000002</v>
      </c>
      <c r="H128">
        <v>2.5025400000000002</v>
      </c>
      <c r="I128">
        <f>IF($A128="Hybrid", $H128 / $F128, "")</f>
        <v>1</v>
      </c>
      <c r="J128">
        <f>IF($A128="Hybrid", I128 / $B128, "")</f>
        <v>1</v>
      </c>
    </row>
    <row r="129" spans="1:10">
      <c r="A129" t="s">
        <v>31</v>
      </c>
      <c r="B129">
        <v>1</v>
      </c>
      <c r="C129">
        <v>1000</v>
      </c>
      <c r="D129">
        <v>1000</v>
      </c>
      <c r="E129">
        <v>1000</v>
      </c>
      <c r="F129">
        <v>8.9317700000000002</v>
      </c>
      <c r="G129">
        <v>8.9317700000000002</v>
      </c>
      <c r="H129">
        <v>8.9317700000000002</v>
      </c>
      <c r="I129">
        <f t="shared" ref="I129:I169" si="8">IF($A129="Hybrid", $H129 / $F129, "")</f>
        <v>1</v>
      </c>
      <c r="J129">
        <f t="shared" ref="J129:J169" si="9">IF($A129="Hybrid", I129 / $B129, "")</f>
        <v>1</v>
      </c>
    </row>
    <row r="130" spans="1:10">
      <c r="A130" t="s">
        <v>31</v>
      </c>
      <c r="B130">
        <v>1</v>
      </c>
      <c r="C130">
        <v>1000</v>
      </c>
      <c r="D130">
        <v>2000</v>
      </c>
      <c r="E130">
        <v>2000</v>
      </c>
      <c r="F130">
        <v>35.345500000000001</v>
      </c>
      <c r="G130">
        <v>35.345500000000001</v>
      </c>
      <c r="H130">
        <v>35.345500000000001</v>
      </c>
      <c r="I130">
        <f t="shared" si="8"/>
        <v>1</v>
      </c>
      <c r="J130">
        <f t="shared" si="9"/>
        <v>1</v>
      </c>
    </row>
    <row r="131" spans="1:10">
      <c r="A131" t="s">
        <v>31</v>
      </c>
      <c r="B131">
        <v>1</v>
      </c>
      <c r="C131">
        <v>1000</v>
      </c>
      <c r="D131">
        <v>5000</v>
      </c>
      <c r="E131">
        <v>5000</v>
      </c>
      <c r="F131">
        <v>227.59800000000001</v>
      </c>
      <c r="G131">
        <v>227.59800000000001</v>
      </c>
      <c r="H131">
        <v>227.59800000000001</v>
      </c>
      <c r="I131">
        <f t="shared" si="8"/>
        <v>1</v>
      </c>
      <c r="J131">
        <f t="shared" si="9"/>
        <v>1</v>
      </c>
    </row>
    <row r="132" spans="1:10">
      <c r="A132" t="s">
        <v>31</v>
      </c>
      <c r="B132">
        <v>1</v>
      </c>
      <c r="C132">
        <v>1000</v>
      </c>
      <c r="D132">
        <v>10000</v>
      </c>
      <c r="E132">
        <v>10000</v>
      </c>
      <c r="F132">
        <v>906.64400000000001</v>
      </c>
      <c r="G132">
        <v>906.64400000000001</v>
      </c>
      <c r="H132">
        <v>906.64400000000001</v>
      </c>
      <c r="I132">
        <f t="shared" si="8"/>
        <v>1</v>
      </c>
      <c r="J132">
        <f t="shared" si="9"/>
        <v>1</v>
      </c>
    </row>
    <row r="133" spans="1:10">
      <c r="A133" t="s">
        <v>31</v>
      </c>
      <c r="B133">
        <v>1</v>
      </c>
      <c r="C133">
        <v>1000</v>
      </c>
      <c r="D133">
        <v>20000</v>
      </c>
      <c r="E133">
        <v>20000</v>
      </c>
      <c r="F133">
        <v>3649.1</v>
      </c>
      <c r="G133">
        <v>3649.1</v>
      </c>
      <c r="H133">
        <v>3649.1</v>
      </c>
      <c r="I133">
        <f t="shared" si="8"/>
        <v>1</v>
      </c>
      <c r="J133">
        <f t="shared" si="9"/>
        <v>1</v>
      </c>
    </row>
    <row r="134" spans="1:10">
      <c r="A134" t="s">
        <v>31</v>
      </c>
      <c r="B134">
        <v>2</v>
      </c>
      <c r="C134">
        <v>1000</v>
      </c>
      <c r="D134">
        <v>500</v>
      </c>
      <c r="E134">
        <v>500</v>
      </c>
      <c r="F134">
        <v>1.4522699999999999</v>
      </c>
      <c r="G134">
        <v>1.4522699999999999</v>
      </c>
      <c r="H134">
        <v>2.5025400000000002</v>
      </c>
      <c r="I134">
        <f t="shared" si="8"/>
        <v>1.7231919684356216</v>
      </c>
      <c r="J134">
        <f t="shared" si="9"/>
        <v>0.86159598421781081</v>
      </c>
    </row>
    <row r="135" spans="1:10">
      <c r="A135" t="s">
        <v>31</v>
      </c>
      <c r="B135">
        <v>2</v>
      </c>
      <c r="C135">
        <v>1000</v>
      </c>
      <c r="D135">
        <v>1000</v>
      </c>
      <c r="E135">
        <v>1000</v>
      </c>
      <c r="F135">
        <v>4.8940999999999999</v>
      </c>
      <c r="G135">
        <v>4.8940999999999999</v>
      </c>
      <c r="H135">
        <v>8.9317700000000002</v>
      </c>
      <c r="I135">
        <f t="shared" si="8"/>
        <v>1.825007662287244</v>
      </c>
      <c r="J135">
        <f t="shared" si="9"/>
        <v>0.91250383114362199</v>
      </c>
    </row>
    <row r="136" spans="1:10">
      <c r="A136" t="s">
        <v>31</v>
      </c>
      <c r="B136">
        <v>2</v>
      </c>
      <c r="C136">
        <v>1000</v>
      </c>
      <c r="D136">
        <v>2000</v>
      </c>
      <c r="E136">
        <v>2000</v>
      </c>
      <c r="F136">
        <v>18.750699999999998</v>
      </c>
      <c r="G136">
        <v>18.750699999999998</v>
      </c>
      <c r="H136">
        <v>35.345500000000001</v>
      </c>
      <c r="I136">
        <f t="shared" si="8"/>
        <v>1.8850229591428589</v>
      </c>
      <c r="J136">
        <f t="shared" si="9"/>
        <v>0.94251147957142944</v>
      </c>
    </row>
    <row r="137" spans="1:10">
      <c r="A137" t="s">
        <v>31</v>
      </c>
      <c r="B137">
        <v>2</v>
      </c>
      <c r="C137">
        <v>1000</v>
      </c>
      <c r="D137">
        <v>5000</v>
      </c>
      <c r="E137">
        <v>5000</v>
      </c>
      <c r="F137">
        <v>122.17700000000001</v>
      </c>
      <c r="G137">
        <v>122.17700000000001</v>
      </c>
      <c r="H137">
        <v>227.59800000000001</v>
      </c>
      <c r="I137">
        <f t="shared" si="8"/>
        <v>1.8628547107884463</v>
      </c>
      <c r="J137">
        <f t="shared" si="9"/>
        <v>0.93142735539422317</v>
      </c>
    </row>
    <row r="138" spans="1:10">
      <c r="A138" t="s">
        <v>31</v>
      </c>
      <c r="B138">
        <v>2</v>
      </c>
      <c r="C138">
        <v>1000</v>
      </c>
      <c r="D138">
        <v>10000</v>
      </c>
      <c r="E138">
        <v>10000</v>
      </c>
      <c r="F138">
        <v>476.41</v>
      </c>
      <c r="G138">
        <v>476.41</v>
      </c>
      <c r="H138">
        <v>906.64400000000001</v>
      </c>
      <c r="I138">
        <f t="shared" si="8"/>
        <v>1.9030750823870195</v>
      </c>
      <c r="J138">
        <f t="shared" si="9"/>
        <v>0.95153754119350975</v>
      </c>
    </row>
    <row r="139" spans="1:10">
      <c r="A139" t="s">
        <v>31</v>
      </c>
      <c r="B139">
        <v>2</v>
      </c>
      <c r="C139">
        <v>1000</v>
      </c>
      <c r="D139">
        <v>20000</v>
      </c>
      <c r="E139">
        <v>20000</v>
      </c>
      <c r="F139">
        <v>1894.32</v>
      </c>
      <c r="G139">
        <v>1894.32</v>
      </c>
      <c r="H139">
        <v>3649.1</v>
      </c>
      <c r="I139">
        <f t="shared" si="8"/>
        <v>1.9263376831791883</v>
      </c>
      <c r="J139">
        <f t="shared" si="9"/>
        <v>0.96316884158959415</v>
      </c>
    </row>
    <row r="140" spans="1:10">
      <c r="A140" t="s">
        <v>31</v>
      </c>
      <c r="B140">
        <v>4</v>
      </c>
      <c r="C140">
        <v>1000</v>
      </c>
      <c r="D140">
        <v>500</v>
      </c>
      <c r="E140">
        <v>500</v>
      </c>
      <c r="F140">
        <v>41.357900000000001</v>
      </c>
      <c r="G140">
        <v>41.357900000000001</v>
      </c>
      <c r="H140">
        <v>2.5025400000000002</v>
      </c>
      <c r="I140">
        <f t="shared" si="8"/>
        <v>6.0509358550603395E-2</v>
      </c>
      <c r="J140">
        <f t="shared" si="9"/>
        <v>1.5127339637650849E-2</v>
      </c>
    </row>
    <row r="141" spans="1:10">
      <c r="A141" t="s">
        <v>31</v>
      </c>
      <c r="B141">
        <v>4</v>
      </c>
      <c r="C141">
        <v>1000</v>
      </c>
      <c r="D141">
        <v>1000</v>
      </c>
      <c r="E141">
        <v>1000</v>
      </c>
      <c r="F141">
        <v>41.592100000000002</v>
      </c>
      <c r="G141">
        <v>41.592100000000002</v>
      </c>
      <c r="H141">
        <v>8.9317700000000002</v>
      </c>
      <c r="I141">
        <f t="shared" si="8"/>
        <v>0.21474679085691753</v>
      </c>
      <c r="J141">
        <f t="shared" si="9"/>
        <v>5.3686697714229382E-2</v>
      </c>
    </row>
    <row r="142" spans="1:10">
      <c r="A142" t="s">
        <v>31</v>
      </c>
      <c r="B142">
        <v>4</v>
      </c>
      <c r="C142">
        <v>1000</v>
      </c>
      <c r="D142">
        <v>2000</v>
      </c>
      <c r="E142">
        <v>2000</v>
      </c>
      <c r="F142">
        <v>42.545900000000003</v>
      </c>
      <c r="G142">
        <v>42.545900000000003</v>
      </c>
      <c r="H142">
        <v>35.345500000000001</v>
      </c>
      <c r="I142">
        <f t="shared" si="8"/>
        <v>0.83076160100033136</v>
      </c>
      <c r="J142">
        <f t="shared" si="9"/>
        <v>0.20769040025008284</v>
      </c>
    </row>
    <row r="143" spans="1:10">
      <c r="A143" t="s">
        <v>31</v>
      </c>
      <c r="B143">
        <v>4</v>
      </c>
      <c r="C143">
        <v>1000</v>
      </c>
      <c r="D143">
        <v>5000</v>
      </c>
      <c r="E143">
        <v>5000</v>
      </c>
      <c r="F143">
        <v>50.005099999999999</v>
      </c>
      <c r="G143">
        <v>50.005099999999999</v>
      </c>
      <c r="H143">
        <v>227.59800000000001</v>
      </c>
      <c r="I143">
        <f t="shared" si="8"/>
        <v>4.5514957474337621</v>
      </c>
      <c r="J143">
        <f t="shared" si="9"/>
        <v>1.1378739368584405</v>
      </c>
    </row>
    <row r="144" spans="1:10">
      <c r="A144" t="s">
        <v>31</v>
      </c>
      <c r="B144">
        <v>4</v>
      </c>
      <c r="C144">
        <v>1000</v>
      </c>
      <c r="D144">
        <v>10000</v>
      </c>
      <c r="E144">
        <v>10000</v>
      </c>
      <c r="F144">
        <v>114.5</v>
      </c>
      <c r="G144">
        <v>114.5</v>
      </c>
      <c r="H144">
        <v>906.64400000000001</v>
      </c>
      <c r="I144">
        <f t="shared" si="8"/>
        <v>7.9182882096069873</v>
      </c>
      <c r="J144">
        <f t="shared" si="9"/>
        <v>1.9795720524017468</v>
      </c>
    </row>
    <row r="145" spans="1:10">
      <c r="A145" t="s">
        <v>31</v>
      </c>
      <c r="B145">
        <v>4</v>
      </c>
      <c r="C145">
        <v>1000</v>
      </c>
      <c r="D145">
        <v>20000</v>
      </c>
      <c r="E145">
        <v>20000</v>
      </c>
      <c r="F145">
        <v>336.39299999999997</v>
      </c>
      <c r="G145">
        <v>336.39299999999997</v>
      </c>
      <c r="H145">
        <v>3649.1</v>
      </c>
      <c r="I145">
        <f t="shared" si="8"/>
        <v>10.847728698278502</v>
      </c>
      <c r="J145">
        <f t="shared" si="9"/>
        <v>2.7119321745696254</v>
      </c>
    </row>
    <row r="146" spans="1:10">
      <c r="A146" t="s">
        <v>31</v>
      </c>
      <c r="B146">
        <v>8</v>
      </c>
      <c r="C146">
        <v>1000</v>
      </c>
      <c r="D146">
        <v>500</v>
      </c>
      <c r="E146">
        <v>500</v>
      </c>
      <c r="F146">
        <v>89.880499999999998</v>
      </c>
      <c r="G146">
        <v>89.880499999999998</v>
      </c>
      <c r="H146">
        <v>2.5025400000000002</v>
      </c>
      <c r="I146">
        <f t="shared" si="8"/>
        <v>2.7842969275871855E-2</v>
      </c>
      <c r="J146">
        <f t="shared" si="9"/>
        <v>3.4803711594839819E-3</v>
      </c>
    </row>
    <row r="147" spans="1:10">
      <c r="A147" t="s">
        <v>31</v>
      </c>
      <c r="B147">
        <v>8</v>
      </c>
      <c r="C147">
        <v>1000</v>
      </c>
      <c r="D147">
        <v>1000</v>
      </c>
      <c r="E147">
        <v>1000</v>
      </c>
      <c r="F147">
        <v>89.568700000000007</v>
      </c>
      <c r="G147">
        <v>89.568700000000007</v>
      </c>
      <c r="H147">
        <v>8.9317700000000002</v>
      </c>
      <c r="I147">
        <f t="shared" si="8"/>
        <v>9.9719768177946089E-2</v>
      </c>
      <c r="J147">
        <f t="shared" si="9"/>
        <v>1.2464971022243261E-2</v>
      </c>
    </row>
    <row r="148" spans="1:10">
      <c r="A148" t="s">
        <v>31</v>
      </c>
      <c r="B148">
        <v>8</v>
      </c>
      <c r="C148">
        <v>1000</v>
      </c>
      <c r="D148">
        <v>2000</v>
      </c>
      <c r="E148">
        <v>2000</v>
      </c>
      <c r="F148">
        <v>91.228999999999999</v>
      </c>
      <c r="G148">
        <v>91.228999999999999</v>
      </c>
      <c r="H148">
        <v>35.345500000000001</v>
      </c>
      <c r="I148">
        <f t="shared" si="8"/>
        <v>0.38743710881408328</v>
      </c>
      <c r="J148">
        <f t="shared" si="9"/>
        <v>4.8429638601760409E-2</v>
      </c>
    </row>
    <row r="149" spans="1:10">
      <c r="A149" t="s">
        <v>31</v>
      </c>
      <c r="B149">
        <v>8</v>
      </c>
      <c r="C149">
        <v>1000</v>
      </c>
      <c r="D149">
        <v>5000</v>
      </c>
      <c r="E149">
        <v>5000</v>
      </c>
      <c r="F149">
        <v>94.180499999999995</v>
      </c>
      <c r="G149">
        <v>94.180499999999995</v>
      </c>
      <c r="H149">
        <v>227.59800000000001</v>
      </c>
      <c r="I149">
        <f t="shared" si="8"/>
        <v>2.4166149043591827</v>
      </c>
      <c r="J149">
        <f t="shared" si="9"/>
        <v>0.30207686304489784</v>
      </c>
    </row>
    <row r="150" spans="1:10">
      <c r="A150" t="s">
        <v>31</v>
      </c>
      <c r="B150">
        <v>8</v>
      </c>
      <c r="C150">
        <v>1000</v>
      </c>
      <c r="D150">
        <v>10000</v>
      </c>
      <c r="E150">
        <v>10000</v>
      </c>
      <c r="F150">
        <v>153.934</v>
      </c>
      <c r="G150">
        <v>153.934</v>
      </c>
      <c r="H150">
        <v>906.64400000000001</v>
      </c>
      <c r="I150">
        <f t="shared" si="8"/>
        <v>5.8898229111177516</v>
      </c>
      <c r="J150">
        <f t="shared" si="9"/>
        <v>0.73622786388971895</v>
      </c>
    </row>
    <row r="151" spans="1:10">
      <c r="A151" t="s">
        <v>31</v>
      </c>
      <c r="B151">
        <v>8</v>
      </c>
      <c r="C151">
        <v>1000</v>
      </c>
      <c r="D151">
        <v>20000</v>
      </c>
      <c r="E151">
        <v>20000</v>
      </c>
      <c r="F151">
        <v>381.95100000000002</v>
      </c>
      <c r="G151">
        <v>381.95100000000002</v>
      </c>
      <c r="H151">
        <v>3649.1</v>
      </c>
      <c r="I151">
        <f t="shared" si="8"/>
        <v>9.5538432940350972</v>
      </c>
      <c r="J151">
        <f t="shared" si="9"/>
        <v>1.1942304117543872</v>
      </c>
    </row>
    <row r="152" spans="1:10">
      <c r="A152" t="s">
        <v>31</v>
      </c>
      <c r="B152">
        <v>16</v>
      </c>
      <c r="C152">
        <v>1000</v>
      </c>
      <c r="D152">
        <v>500</v>
      </c>
      <c r="E152">
        <v>500</v>
      </c>
      <c r="F152">
        <v>106.925</v>
      </c>
      <c r="G152">
        <v>106.925</v>
      </c>
      <c r="H152">
        <v>2.5025400000000002</v>
      </c>
      <c r="I152">
        <f t="shared" si="8"/>
        <v>2.3404629413140053E-2</v>
      </c>
      <c r="J152">
        <f t="shared" si="9"/>
        <v>1.4627893383212533E-3</v>
      </c>
    </row>
    <row r="153" spans="1:10">
      <c r="A153" t="s">
        <v>31</v>
      </c>
      <c r="B153">
        <v>16</v>
      </c>
      <c r="C153">
        <v>1000</v>
      </c>
      <c r="D153">
        <v>1000</v>
      </c>
      <c r="E153">
        <v>1000</v>
      </c>
      <c r="F153">
        <v>107.746</v>
      </c>
      <c r="G153">
        <v>107.746</v>
      </c>
      <c r="H153">
        <v>8.9317700000000002</v>
      </c>
      <c r="I153">
        <f t="shared" si="8"/>
        <v>8.2896534442113867E-2</v>
      </c>
      <c r="J153">
        <f t="shared" si="9"/>
        <v>5.1810334026321167E-3</v>
      </c>
    </row>
    <row r="154" spans="1:10">
      <c r="A154" t="s">
        <v>31</v>
      </c>
      <c r="B154">
        <v>16</v>
      </c>
      <c r="C154">
        <v>1000</v>
      </c>
      <c r="D154">
        <v>2000</v>
      </c>
      <c r="E154">
        <v>2000</v>
      </c>
      <c r="F154">
        <v>108.434</v>
      </c>
      <c r="G154">
        <v>108.434</v>
      </c>
      <c r="H154">
        <v>35.345500000000001</v>
      </c>
      <c r="I154">
        <f t="shared" si="8"/>
        <v>0.32596325875647864</v>
      </c>
      <c r="J154">
        <f t="shared" si="9"/>
        <v>2.0372703672279915E-2</v>
      </c>
    </row>
    <row r="155" spans="1:10">
      <c r="A155" t="s">
        <v>31</v>
      </c>
      <c r="B155">
        <v>16</v>
      </c>
      <c r="C155">
        <v>1000</v>
      </c>
      <c r="D155">
        <v>5000</v>
      </c>
      <c r="E155">
        <v>5000</v>
      </c>
      <c r="F155">
        <v>110.155</v>
      </c>
      <c r="G155">
        <v>110.155</v>
      </c>
      <c r="H155">
        <v>227.59800000000001</v>
      </c>
      <c r="I155">
        <f t="shared" si="8"/>
        <v>2.0661613181426173</v>
      </c>
      <c r="J155">
        <f t="shared" si="9"/>
        <v>0.12913508238391358</v>
      </c>
    </row>
    <row r="156" spans="1:10">
      <c r="A156" t="s">
        <v>31</v>
      </c>
      <c r="B156">
        <v>16</v>
      </c>
      <c r="C156">
        <v>1000</v>
      </c>
      <c r="D156">
        <v>10000</v>
      </c>
      <c r="E156">
        <v>10000</v>
      </c>
      <c r="F156">
        <v>175.88800000000001</v>
      </c>
      <c r="G156">
        <v>175.88800000000001</v>
      </c>
      <c r="H156">
        <v>906.64400000000001</v>
      </c>
      <c r="I156">
        <f t="shared" si="8"/>
        <v>5.1546666060220137</v>
      </c>
      <c r="J156">
        <f t="shared" si="9"/>
        <v>0.32216666287637585</v>
      </c>
    </row>
    <row r="157" spans="1:10">
      <c r="A157" t="s">
        <v>31</v>
      </c>
      <c r="B157">
        <v>16</v>
      </c>
      <c r="C157">
        <v>1000</v>
      </c>
      <c r="D157">
        <v>20000</v>
      </c>
      <c r="E157">
        <v>20000</v>
      </c>
      <c r="F157">
        <v>427.16500000000002</v>
      </c>
      <c r="G157">
        <v>427.16500000000002</v>
      </c>
      <c r="H157">
        <v>3649.1</v>
      </c>
      <c r="I157">
        <f t="shared" si="8"/>
        <v>8.5426006344152725</v>
      </c>
      <c r="J157">
        <f t="shared" si="9"/>
        <v>0.53391253965095453</v>
      </c>
    </row>
    <row r="158" spans="1:10">
      <c r="A158" t="s">
        <v>31</v>
      </c>
      <c r="B158">
        <v>32</v>
      </c>
      <c r="C158">
        <v>1000</v>
      </c>
      <c r="D158">
        <v>500</v>
      </c>
      <c r="E158">
        <v>500</v>
      </c>
      <c r="F158">
        <v>114.37</v>
      </c>
      <c r="G158">
        <v>114.37</v>
      </c>
      <c r="H158">
        <v>2.5025400000000002</v>
      </c>
      <c r="I158">
        <f t="shared" si="8"/>
        <v>2.1881087697822856E-2</v>
      </c>
      <c r="J158">
        <f t="shared" si="9"/>
        <v>6.8378399055696423E-4</v>
      </c>
    </row>
    <row r="159" spans="1:10">
      <c r="A159" t="s">
        <v>31</v>
      </c>
      <c r="B159">
        <v>32</v>
      </c>
      <c r="C159">
        <v>1000</v>
      </c>
      <c r="D159">
        <v>1000</v>
      </c>
      <c r="E159">
        <v>1000</v>
      </c>
      <c r="F159">
        <v>112.29600000000001</v>
      </c>
      <c r="G159">
        <v>112.29600000000001</v>
      </c>
      <c r="H159">
        <v>8.9317700000000002</v>
      </c>
      <c r="I159">
        <f t="shared" si="8"/>
        <v>7.953773954548693E-2</v>
      </c>
      <c r="J159">
        <f t="shared" si="9"/>
        <v>2.4855543607964665E-3</v>
      </c>
    </row>
    <row r="160" spans="1:10">
      <c r="A160" t="s">
        <v>31</v>
      </c>
      <c r="B160">
        <v>32</v>
      </c>
      <c r="C160">
        <v>1000</v>
      </c>
      <c r="D160">
        <v>2000</v>
      </c>
      <c r="E160">
        <v>2000</v>
      </c>
      <c r="F160">
        <v>114.09699999999999</v>
      </c>
      <c r="G160">
        <v>114.09699999999999</v>
      </c>
      <c r="H160">
        <v>35.345500000000001</v>
      </c>
      <c r="I160">
        <f t="shared" si="8"/>
        <v>0.30978465691473045</v>
      </c>
      <c r="J160">
        <f t="shared" si="9"/>
        <v>9.6807705285853266E-3</v>
      </c>
    </row>
    <row r="161" spans="1:10">
      <c r="A161" t="s">
        <v>31</v>
      </c>
      <c r="B161">
        <v>32</v>
      </c>
      <c r="C161">
        <v>1000</v>
      </c>
      <c r="D161">
        <v>5000</v>
      </c>
      <c r="E161">
        <v>5000</v>
      </c>
      <c r="F161">
        <v>120.70099999999999</v>
      </c>
      <c r="G161">
        <v>120.70099999999999</v>
      </c>
      <c r="H161">
        <v>227.59800000000001</v>
      </c>
      <c r="I161">
        <f t="shared" si="8"/>
        <v>1.8856347503334689</v>
      </c>
      <c r="J161">
        <f t="shared" si="9"/>
        <v>5.8926085947920905E-2</v>
      </c>
    </row>
    <row r="162" spans="1:10">
      <c r="A162" t="s">
        <v>31</v>
      </c>
      <c r="B162">
        <v>32</v>
      </c>
      <c r="C162">
        <v>1000</v>
      </c>
      <c r="D162">
        <v>10000</v>
      </c>
      <c r="E162">
        <v>10000</v>
      </c>
      <c r="F162">
        <v>148.18700000000001</v>
      </c>
      <c r="G162">
        <v>148.18700000000001</v>
      </c>
      <c r="H162">
        <v>906.64400000000001</v>
      </c>
      <c r="I162">
        <f t="shared" si="8"/>
        <v>6.1182424909067592</v>
      </c>
      <c r="J162">
        <f t="shared" si="9"/>
        <v>0.19119507784083623</v>
      </c>
    </row>
    <row r="163" spans="1:10">
      <c r="A163" t="s">
        <v>31</v>
      </c>
      <c r="B163">
        <v>32</v>
      </c>
      <c r="C163">
        <v>1000</v>
      </c>
      <c r="D163">
        <v>20000</v>
      </c>
      <c r="E163">
        <v>20000</v>
      </c>
      <c r="F163">
        <v>285.517</v>
      </c>
      <c r="G163">
        <v>285.517</v>
      </c>
      <c r="H163">
        <v>3649.1</v>
      </c>
      <c r="I163">
        <f t="shared" si="8"/>
        <v>12.780675056126254</v>
      </c>
      <c r="J163">
        <f t="shared" si="9"/>
        <v>0.39939609550394545</v>
      </c>
    </row>
    <row r="164" spans="1:10">
      <c r="A164" t="s">
        <v>31</v>
      </c>
      <c r="B164">
        <v>64</v>
      </c>
      <c r="C164">
        <v>1000</v>
      </c>
      <c r="D164">
        <v>500</v>
      </c>
      <c r="E164">
        <v>500</v>
      </c>
      <c r="F164">
        <v>113.161</v>
      </c>
      <c r="G164">
        <v>113.161</v>
      </c>
      <c r="H164">
        <v>2.5025400000000002</v>
      </c>
      <c r="I164">
        <f t="shared" si="8"/>
        <v>2.2114862894460106E-2</v>
      </c>
      <c r="J164">
        <f t="shared" si="9"/>
        <v>3.4554473272593915E-4</v>
      </c>
    </row>
    <row r="165" spans="1:10">
      <c r="A165" t="s">
        <v>31</v>
      </c>
      <c r="B165">
        <v>64</v>
      </c>
      <c r="C165">
        <v>1000</v>
      </c>
      <c r="D165">
        <v>1000</v>
      </c>
      <c r="E165">
        <v>1000</v>
      </c>
      <c r="F165">
        <v>117.934</v>
      </c>
      <c r="G165">
        <v>117.934</v>
      </c>
      <c r="H165">
        <v>8.9317700000000002</v>
      </c>
      <c r="I165">
        <f t="shared" si="8"/>
        <v>7.5735326538572428E-2</v>
      </c>
      <c r="J165">
        <f t="shared" si="9"/>
        <v>1.1833644771651942E-3</v>
      </c>
    </row>
    <row r="166" spans="1:10">
      <c r="A166" t="s">
        <v>31</v>
      </c>
      <c r="B166">
        <v>64</v>
      </c>
      <c r="C166">
        <v>1000</v>
      </c>
      <c r="D166">
        <v>2000</v>
      </c>
      <c r="E166">
        <v>2000</v>
      </c>
      <c r="F166">
        <v>118.104</v>
      </c>
      <c r="G166">
        <v>118.104</v>
      </c>
      <c r="H166">
        <v>35.345500000000001</v>
      </c>
      <c r="I166">
        <f t="shared" si="8"/>
        <v>0.29927436835331572</v>
      </c>
      <c r="J166">
        <f t="shared" si="9"/>
        <v>4.6761620055205582E-3</v>
      </c>
    </row>
    <row r="167" spans="1:10">
      <c r="A167" t="s">
        <v>31</v>
      </c>
      <c r="B167">
        <v>64</v>
      </c>
      <c r="C167">
        <v>1000</v>
      </c>
      <c r="D167">
        <v>5000</v>
      </c>
      <c r="E167">
        <v>5000</v>
      </c>
      <c r="F167">
        <v>132.15700000000001</v>
      </c>
      <c r="G167">
        <v>132.15700000000001</v>
      </c>
      <c r="H167">
        <v>227.59800000000001</v>
      </c>
      <c r="I167">
        <f t="shared" si="8"/>
        <v>1.7221789235530467</v>
      </c>
      <c r="J167">
        <f t="shared" si="9"/>
        <v>2.6909045680516355E-2</v>
      </c>
    </row>
    <row r="168" spans="1:10">
      <c r="A168" t="s">
        <v>31</v>
      </c>
      <c r="B168">
        <v>64</v>
      </c>
      <c r="C168">
        <v>1000</v>
      </c>
      <c r="D168">
        <v>10000</v>
      </c>
      <c r="E168">
        <v>10000</v>
      </c>
      <c r="F168">
        <v>133.11799999999999</v>
      </c>
      <c r="G168">
        <v>133.11799999999999</v>
      </c>
      <c r="H168">
        <v>906.64400000000001</v>
      </c>
      <c r="I168">
        <f t="shared" si="8"/>
        <v>6.8108294896257462</v>
      </c>
      <c r="J168">
        <f t="shared" si="9"/>
        <v>0.10641921077540228</v>
      </c>
    </row>
    <row r="169" spans="1:10">
      <c r="A169" t="s">
        <v>31</v>
      </c>
      <c r="B169">
        <v>64</v>
      </c>
      <c r="C169">
        <v>1000</v>
      </c>
      <c r="D169">
        <v>20000</v>
      </c>
      <c r="E169">
        <v>20000</v>
      </c>
      <c r="F169">
        <v>222.21100000000001</v>
      </c>
      <c r="G169">
        <v>222.21100000000001</v>
      </c>
      <c r="H169">
        <v>3649.1</v>
      </c>
      <c r="I169">
        <f t="shared" si="8"/>
        <v>16.421779299854641</v>
      </c>
      <c r="J169">
        <f t="shared" si="9"/>
        <v>0.25659030156022877</v>
      </c>
    </row>
  </sheetData>
  <phoneticPr fontId="2" type="noConversion"/>
  <pageMargins left="0.7" right="0.7" top="0.75" bottom="0.75" header="0.3" footer="0.3"/>
  <pageSetup orientation="portrait" r:id="rId1"/>
  <drawing r:id="rId2"/>
  <tableParts count="3">
    <tablePart r:id="rId3"/>
    <tablePart r:id="rId4"/>
    <tablePart r:id="rId5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Saban, Michael</dc:creator>
  <cp:keywords/>
  <dc:description/>
  <cp:lastModifiedBy>Moore, Izzy</cp:lastModifiedBy>
  <cp:revision/>
  <dcterms:created xsi:type="dcterms:W3CDTF">2015-06-05T18:17:20Z</dcterms:created>
  <dcterms:modified xsi:type="dcterms:W3CDTF">2025-12-11T00:09:31Z</dcterms:modified>
  <cp:category/>
  <cp:contentStatus/>
</cp:coreProperties>
</file>